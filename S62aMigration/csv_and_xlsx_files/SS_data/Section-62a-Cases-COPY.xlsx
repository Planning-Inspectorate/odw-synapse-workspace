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166925"/>
  <mc:AlternateContent xmlns:mc="http://schemas.openxmlformats.org/markup-compatibility/2006">
    <mc:Choice Requires="x15">
      <x15ac:absPath xmlns:x15ac="http://schemas.microsoft.com/office/spreadsheetml/2010/11/ac" url="/Users/nisalihalwathura/PINS/S62A migration/Spreadsheet_data/"/>
    </mc:Choice>
  </mc:AlternateContent>
  <xr:revisionPtr revIDLastSave="0" documentId="8_{69DCF62A-4DEF-B74A-AC96-9AC2548B9F67}" xr6:coauthVersionLast="47" xr6:coauthVersionMax="47" xr10:uidLastSave="{00000000-0000-0000-0000-000000000000}"/>
  <bookViews>
    <workbookView xWindow="3760" yWindow="3160" windowWidth="32080" windowHeight="15900" firstSheet="2" activeTab="3" xr2:uid="{1EA5F4ED-7DA6-4A27-B777-EDCB61B53CEA}"/>
  </bookViews>
  <sheets>
    <sheet name="Key" sheetId="4" r:id="rId1"/>
    <sheet name="Pre-application - DONE" sheetId="1" r:id="rId2"/>
    <sheet name="Application (Major)" sheetId="2" r:id="rId3"/>
    <sheet name="Application (Non Major)" sheetId="5" r:id="rId4"/>
    <sheet name="TMP Invoices" sheetId="3" r:id="rId5"/>
    <sheet name="Applicant breakdown " sheetId="6" r:id="rId6"/>
  </sheets>
  <definedNames>
    <definedName name="_xlnm._FilterDatabase" localSheetId="2" hidden="1">'Application (Major)'!$A$1:$BG$38</definedName>
    <definedName name="_xlnm._FilterDatabase" localSheetId="3" hidden="1">'Application (Non Major)'!$C$1:$C$113</definedName>
    <definedName name="_xlnm._FilterDatabase" localSheetId="1" hidden="1">'Pre-application - DONE'!$C$1:$C$21</definedName>
    <definedName name="_Hlk161053128" localSheetId="3">'Application (Non Major)'!$B$3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6" l="1"/>
  <c r="B8" i="6"/>
  <c r="B3" i="6"/>
  <c r="BF96" i="5"/>
  <c r="BF97" i="5"/>
  <c r="BF95" i="5"/>
  <c r="BF94" i="5"/>
  <c r="BF93" i="5"/>
  <c r="BF92" i="5"/>
  <c r="BF91" i="5"/>
  <c r="BF90" i="5"/>
  <c r="AB89" i="5"/>
  <c r="BA89" i="5"/>
  <c r="BF87" i="5" l="1"/>
  <c r="BA88" i="5"/>
  <c r="AB88" i="5"/>
  <c r="BF86" i="5"/>
  <c r="BA97" i="5"/>
  <c r="BF85" i="5"/>
  <c r="F93" i="3"/>
  <c r="BF84" i="5"/>
  <c r="F92" i="3" l="1"/>
  <c r="BF83" i="5" l="1"/>
  <c r="BA96" i="5"/>
  <c r="BF82" i="5"/>
  <c r="F91" i="3"/>
  <c r="BF80" i="5"/>
  <c r="BF81" i="5"/>
  <c r="AB95" i="5"/>
  <c r="BA95" i="5"/>
  <c r="AB96" i="5"/>
  <c r="BA94" i="5"/>
  <c r="AB94" i="5"/>
  <c r="BA93" i="5"/>
  <c r="AB93" i="5"/>
  <c r="BF79" i="5"/>
  <c r="BF78" i="5"/>
  <c r="BA92" i="5"/>
  <c r="F90" i="3"/>
  <c r="F89" i="3"/>
  <c r="BF77" i="5"/>
  <c r="BA91" i="5" l="1"/>
  <c r="BF76" i="5"/>
  <c r="BF75" i="5"/>
  <c r="BA90" i="5"/>
  <c r="BF74" i="5"/>
  <c r="F88" i="3"/>
  <c r="BF73" i="5"/>
  <c r="F87" i="3"/>
  <c r="BA86" i="5"/>
  <c r="BA85" i="5"/>
  <c r="BA84" i="5"/>
  <c r="BA82" i="5"/>
  <c r="F86" i="3"/>
  <c r="F85" i="3"/>
  <c r="BF72" i="5"/>
  <c r="BF71" i="5" l="1"/>
  <c r="BF70" i="5"/>
  <c r="BA83" i="5"/>
  <c r="BA81" i="5"/>
  <c r="BF69" i="5"/>
  <c r="BA79" i="5"/>
  <c r="BF68" i="5"/>
  <c r="BA78" i="5"/>
  <c r="BA76" i="5"/>
  <c r="F84" i="3"/>
  <c r="BF67" i="5"/>
  <c r="BA74" i="5"/>
  <c r="BA75" i="5"/>
  <c r="BF66" i="5"/>
  <c r="BA73" i="5"/>
  <c r="BF65" i="5"/>
  <c r="BA72" i="5"/>
  <c r="BA70" i="5"/>
  <c r="BA69" i="5" l="1"/>
  <c r="BF63" i="5"/>
  <c r="BF64" i="5"/>
  <c r="BF62" i="5"/>
  <c r="BF61" i="5"/>
  <c r="F83" i="3"/>
  <c r="BA68" i="5" l="1"/>
  <c r="BF59" i="5"/>
  <c r="BA67" i="5"/>
  <c r="BF36" i="2"/>
  <c r="F82" i="3" l="1"/>
  <c r="BF57" i="5"/>
  <c r="F81" i="3"/>
  <c r="BA64" i="5"/>
  <c r="BA63" i="5"/>
  <c r="BF56" i="5"/>
  <c r="BF55" i="5"/>
  <c r="F80" i="3"/>
  <c r="BA59" i="5" l="1"/>
  <c r="BF54" i="5"/>
  <c r="F79" i="3"/>
  <c r="BF53" i="5"/>
  <c r="BF52" i="5"/>
  <c r="F78" i="3"/>
  <c r="BA56" i="5"/>
  <c r="F77" i="3"/>
  <c r="BF51" i="5"/>
  <c r="BA54" i="5"/>
  <c r="BF50" i="5"/>
  <c r="BF49" i="5"/>
  <c r="BF48" i="5" l="1"/>
  <c r="BF47" i="5" l="1"/>
  <c r="BF46" i="5"/>
  <c r="BF45" i="5"/>
  <c r="BA53" i="5"/>
  <c r="F76" i="3"/>
  <c r="BF44" i="5" l="1"/>
  <c r="BF35" i="2"/>
  <c r="BF43" i="5" l="1"/>
  <c r="F75" i="3"/>
  <c r="BF42" i="5"/>
  <c r="BA52" i="5"/>
  <c r="F72" i="3"/>
  <c r="F73" i="3"/>
  <c r="F74" i="3" s="1"/>
  <c r="F71" i="3"/>
  <c r="BF40" i="5" l="1"/>
  <c r="BF39" i="5"/>
  <c r="BF38" i="5"/>
  <c r="BF34" i="2"/>
  <c r="BF37" i="5"/>
  <c r="BF36" i="5"/>
  <c r="BA51" i="5" l="1"/>
  <c r="BF35" i="5"/>
  <c r="BA47" i="5"/>
  <c r="BA50" i="5"/>
  <c r="BA48" i="5"/>
  <c r="BA49" i="5"/>
  <c r="BF34" i="5"/>
  <c r="BA46" i="5" l="1"/>
  <c r="BA43" i="5"/>
  <c r="BF33" i="5"/>
  <c r="BF32" i="5"/>
  <c r="BA42" i="5"/>
  <c r="BA35" i="5"/>
  <c r="BF31" i="5"/>
  <c r="BF30" i="5" l="1"/>
  <c r="BA32" i="5" l="1"/>
  <c r="BA30" i="5"/>
  <c r="BA33" i="5"/>
  <c r="BF27" i="5" l="1"/>
  <c r="BF26" i="5"/>
  <c r="BF31" i="2"/>
  <c r="BF25" i="5"/>
  <c r="BF24" i="5"/>
  <c r="BA31" i="5"/>
  <c r="BF23" i="5"/>
  <c r="BF22" i="5"/>
  <c r="BF21" i="5"/>
  <c r="BF20" i="5"/>
  <c r="BA27" i="5"/>
  <c r="BF30" i="2"/>
  <c r="BA23" i="5"/>
  <c r="BA22" i="5" l="1"/>
  <c r="BF19" i="5"/>
  <c r="BF18" i="5"/>
  <c r="BF29" i="2" l="1"/>
  <c r="BA21" i="5"/>
  <c r="BF16" i="5"/>
  <c r="BF15" i="5"/>
  <c r="BF14" i="5"/>
  <c r="BF13" i="5" l="1"/>
  <c r="BF12" i="5"/>
  <c r="BF11" i="5"/>
  <c r="BF28" i="2" l="1"/>
  <c r="BF27" i="2"/>
  <c r="BF10" i="5"/>
  <c r="BF9" i="5"/>
  <c r="BF8" i="5"/>
  <c r="BF7" i="5" l="1"/>
  <c r="BF4" i="5"/>
  <c r="BF25" i="2"/>
  <c r="BF24" i="2"/>
  <c r="BF17" i="2"/>
  <c r="BF3" i="5" l="1"/>
  <c r="BF2" i="5"/>
  <c r="F41" i="3"/>
  <c r="F42" i="3" s="1"/>
  <c r="F43" i="3" s="1"/>
  <c r="F44" i="3" s="1"/>
  <c r="F45" i="3" s="1"/>
  <c r="F46" i="3" s="1"/>
  <c r="F47" i="3" s="1"/>
  <c r="F48" i="3" s="1"/>
  <c r="F49" i="3" s="1"/>
  <c r="F50" i="3" s="1"/>
  <c r="F51" i="3" s="1"/>
  <c r="F52" i="3" s="1"/>
  <c r="F53" i="3" s="1"/>
  <c r="F54" i="3" s="1"/>
  <c r="F55" i="3" s="1"/>
  <c r="F56" i="3" s="1"/>
  <c r="F57" i="3" s="1"/>
  <c r="F58" i="3" s="1"/>
  <c r="F59" i="3" s="1"/>
  <c r="F60" i="3" s="1"/>
  <c r="F61" i="3" s="1"/>
  <c r="F63" i="3" s="1"/>
  <c r="F64" i="3" s="1"/>
  <c r="BA5" i="5"/>
  <c r="F62" i="3" l="1"/>
  <c r="F65" i="3"/>
  <c r="F66" i="3" s="1"/>
  <c r="F67" i="3" s="1"/>
  <c r="BA4" i="5"/>
  <c r="BF23" i="2" l="1"/>
  <c r="BA2" i="5"/>
  <c r="BF22" i="2"/>
  <c r="BF21" i="2"/>
  <c r="BF20" i="2"/>
  <c r="BF19" i="2"/>
  <c r="BF18" i="2"/>
  <c r="F35" i="3"/>
  <c r="F36" i="3" s="1"/>
  <c r="F37" i="3" s="1"/>
  <c r="F38" i="3" s="1"/>
  <c r="BF15" i="2"/>
  <c r="BF14" i="2"/>
  <c r="F24" i="3"/>
  <c r="F25" i="3" s="1"/>
  <c r="F26" i="3" s="1"/>
  <c r="F27" i="3" s="1"/>
  <c r="F28" i="3" s="1"/>
  <c r="F29" i="3" s="1"/>
  <c r="F30" i="3" s="1"/>
  <c r="F31" i="3" s="1"/>
  <c r="F32" i="3" s="1"/>
  <c r="BF13" i="2"/>
  <c r="BF12" i="2"/>
  <c r="F19" i="3"/>
  <c r="F20" i="3" s="1"/>
  <c r="F21" i="3" s="1"/>
  <c r="BF11" i="2"/>
  <c r="BF10" i="2"/>
  <c r="BF9" i="2" l="1"/>
  <c r="BF8" i="2"/>
  <c r="BF7" i="2"/>
  <c r="BF6" i="2"/>
  <c r="BF5" i="2" l="1"/>
  <c r="BF4" i="2" l="1"/>
  <c r="BF2" i="2"/>
  <c r="BF3" i="2"/>
  <c r="BB2" i="2"/>
  <c r="BA2" i="2"/>
  <c r="BB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Boulton, Mark</author>
  </authors>
  <commentList>
    <comment ref="J2" authorId="0" shapeId="0" xr:uid="{D4142BC5-629C-468D-93AE-6B0183BF88DC}">
      <text>
        <r>
          <rPr>
            <b/>
            <sz val="9"/>
            <color indexed="81"/>
            <rFont val="Tahoma"/>
            <family val="2"/>
          </rPr>
          <t>Boulton, Mark:</t>
        </r>
        <r>
          <rPr>
            <sz val="9"/>
            <color indexed="81"/>
            <rFont val="Tahoma"/>
            <family val="2"/>
          </rPr>
          <t xml:space="preserve">
screening request submitted 7/4/22.  Negative screening direction issued 26/4/22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tc={FC7F3D7F-901E-4C26-8FF4-E8DFB9DE2B8C}</author>
    <author>tc={91CB76EA-ED42-42F9-9890-16A71B308914}</author>
    <author>tc={2B6AFD2A-B02E-4E18-A582-2C59A35116A0}</author>
    <author>tc={A68FB22B-7C36-4711-8B19-B88144AE8502}</author>
    <author>tc={57A9442F-6306-4EB8-9B8F-DFE4631C45DE}</author>
    <author>tc={6AD1952C-DB4A-4E75-AD15-B8A9329078DD}</author>
    <author>tc={B9881E1C-2679-4134-96E0-999AFE0C88D1}</author>
    <author>tc={2CB03E4C-90BC-4817-8D0B-946838EFA0D6}</author>
    <author>tc={D105436E-F284-47BC-A28A-AA88A7D03850}</author>
    <author>tc={88781C4A-1F4A-439B-B631-4A8142F4BE83}</author>
    <author>tc={A46241A1-D51D-4498-976B-28EF95198219}</author>
    <author>tc={4F07029F-34B3-4FAF-959A-15F273B33057}</author>
    <author>tc={618CF914-276E-4C2B-B064-5D7E5CCB85B5}</author>
    <author>tc={28709D4B-8503-4F08-B378-CC8F4D10739B}</author>
    <author>tc={C9449A2E-B139-41C7-9CCD-CDC670F2E5A5}</author>
    <author>tc={A076B265-9A99-4BF9-86F8-195724AECB7C}</author>
    <author>tc={1CCBE078-9FB0-4640-8B5C-D4E0B3F24B43}</author>
    <author>tc={7305E6AC-0D80-4FBF-AF51-0FC7CF7C337B}</author>
    <author>tc={F4B9A658-2CCA-4209-9BE9-0141323BA034}</author>
    <author>tc={0C1E3CA5-B54D-4A12-987D-7D5ECBCF2B7A}</author>
    <author>tc={20694593-4039-48EE-8E94-CF9CA269E933}</author>
    <author>tc={6B8A0D29-099A-4E5B-AF04-F6EA4D08AF58}</author>
    <author>tc={874DAC06-4CCD-43A5-8A6D-E77B29D13C97}</author>
    <author>tc={5B54FA65-DC79-4AAF-B0E3-7E55AB342F9A}</author>
    <author>tc={6B0DC3CB-1F18-44D7-A991-AAEBC425E939}</author>
    <author>tc={A727384E-622F-4E2A-B37A-9A8684EE97FE}</author>
    <author>tc={218A44A8-775C-4DF1-A0B1-B1509EB09A74}</author>
    <author>tc={40956590-99A9-4E6E-ACCC-06740DB796C1}</author>
    <author>tc={F332E4E8-8908-4C07-ABED-4A9AD17A3055}</author>
    <author>tc={21A937CC-3067-469A-AE6F-2B4000AB16A4}</author>
    <author>tc={9E9F100C-2A67-4B70-93D6-FA6C298C9685}</author>
    <author>tc={8080E1C0-E35C-4A95-9507-056D2EF9FCA4}</author>
    <author>tc={1A7D5C88-576F-450E-8E0A-C70EF415271E}</author>
    <author>tc={A7348A0D-BE63-41C4-B2C6-091D24C8C753}</author>
    <author>tc={B3C3339D-209F-4ADB-BDA5-7A667F0C5457}</author>
    <author>tc={1F2C85A7-DBEE-4766-88A7-42131AD0D569}</author>
    <author>tc={C7430033-C730-4DF9-9AF3-08EE93F4320A}</author>
    <author>tc={B994E4CE-8CE4-4897-9827-FB577C1A73F6}</author>
    <author>tc={7230597F-7FCA-4C68-9C2F-B1C254CD3CB5}</author>
    <author>tc={B6BB2327-868B-4F2E-95B8-06B17B11BCCB}</author>
    <author>tc={E62E297F-6B5B-4D7F-B42B-78181FF98DF6}</author>
    <author>tc={904A9E76-68F5-45FB-BFE5-68FA7145ABBB}</author>
    <author>tc={F8E95640-587F-4D10-B0D8-C3AB077EF52B}</author>
    <author>tc={07B43C21-ECD4-43ED-A3E8-13B310082E04}</author>
    <author>tc={286852C0-B29C-48A7-98CE-38085357D204}</author>
    <author>tc={0E14B917-6642-4732-BF3D-57B1C3A9AEDE}</author>
    <author>tc={18357876-9357-4914-837E-A7D344251150}</author>
    <author>Boulton, Mark</author>
    <author>Palmer, Leanne</author>
    <author>tc={56EAFB08-00E9-4BAD-B859-B8E7062529E3}</author>
  </authors>
  <commentList>
    <comment ref="A1" authorId="0" shapeId="0" xr:uid="{FC7F3D7F-901E-4C26-8FF4-E8DFB9DE2B8C}">
      <text>
        <t>[Threaded comment]
Your version of Excel allows you to read this threaded comment; however, any edits to it will get removed if the file is opened in a newer version of Excel. Learn more: https://go.microsoft.com/fwlink/?linkid=870924
Comment:
    Do we need a section for each of these three references? What is the difference between first two?
Reply:
    LPA ref is same as Horizon LPA cross reference field?</t>
      </text>
    </comment>
    <comment ref="C1" authorId="1" shapeId="0" xr:uid="{91CB76EA-ED42-42F9-9890-16A71B308914}">
      <text>
        <t>[Threaded comment]
Your version of Excel allows you to read this threaded comment; however, any edits to it will get removed if the file is opened in a newer version of Excel. Learn more: https://go.microsoft.com/fwlink/?linkid=870924
Comment:
    Assuming the selected options will only be designated LPAs? Will there ever be a situation where you receive anything from any other councils?</t>
      </text>
    </comment>
    <comment ref="D1" authorId="2" shapeId="0" xr:uid="{2B6AFD2A-B02E-4E18-A582-2C59A35116A0}">
      <text>
        <t>[Threaded comment]
Your version of Excel allows you to read this threaded comment; however, any edits to it will get removed if the file is opened in a newer version of Excel. Learn more: https://go.microsoft.com/fwlink/?linkid=870924
Comment:
    Can this go into description of proposal? Or does it need to be its own field?</t>
      </text>
    </comment>
    <comment ref="E1" authorId="3" shapeId="0" xr:uid="{A68FB22B-7C36-4711-8B19-B88144AE8502}">
      <text>
        <t>[Threaded comment]
Your version of Excel allows you to read this threaded comment; however, any edits to it will get removed if the file is opened in a newer version of Excel. Learn more: https://go.microsoft.com/fwlink/?linkid=870924
Comment:
    List of specialisms likely?
Reply:
    Band 1, 2, 3?</t>
      </text>
    </comment>
    <comment ref="F1" authorId="4" shapeId="0" xr:uid="{57A9442F-6306-4EB8-9B8F-DFE4631C45DE}">
      <text>
        <t>[Threaded comment]
Your version of Excel allows you to read this threaded comment; however, any edits to it will get removed if the file is opened in a newer version of Excel. Learn more: https://go.microsoft.com/fwlink/?linkid=870924
Comment:
    Are you storing contact details for applicant somewhere?</t>
      </text>
    </comment>
    <comment ref="H1" authorId="5" shapeId="0" xr:uid="{6AD1952C-DB4A-4E75-AD15-B8A9329078DD}">
      <text>
        <t>[Threaded comment]
Your version of Excel allows you to read this threaded comment; however, any edits to it will get removed if the file is opened in a newer version of Excel. Learn more: https://go.microsoft.com/fwlink/?linkid=870924
Comment:
    Do you have a full list of types of application types? Are they the same as the crown list or different?
Reply:
    Waiting for enums but details on Horizon under Application type look slightly different</t>
      </text>
    </comment>
    <comment ref="I1" authorId="6" shapeId="0" xr:uid="{B9881E1C-2679-4134-96E0-999AFE0C88D1}">
      <text>
        <t>[Threaded comment]
Your version of Excel allows you to read this threaded comment; however, any edits to it will get removed if the file is opened in a newer version of Excel. Learn more: https://go.microsoft.com/fwlink/?linkid=870924
Comment:
    Can this be a Yes/No field and anything else goes into notes?
Reply:
    What is UDC (row 8)?</t>
      </text>
    </comment>
    <comment ref="J1" authorId="7" shapeId="0" xr:uid="{2CB03E4C-90BC-4817-8D0B-946838EFA0D6}">
      <text>
        <t xml:space="preserve">[Threaded comment]
Your version of Excel allows you to read this threaded comment; however, any edits to it will get removed if the file is opened in a newer version of Excel. Learn more: https://go.microsoft.com/fwlink/?linkid=870924
Comment:
    Discuss the pros and cons of being one journey vs seperate cases
Reply:
    When would LPA ref be here? </t>
      </text>
    </comment>
    <comment ref="K1" authorId="8" shapeId="0" xr:uid="{D105436E-F284-47BC-A28A-AA88A7D03850}">
      <text>
        <t>[Threaded comment]
Your version of Excel allows you to read this threaded comment; however, any edits to it will get removed if the file is opened in a newer version of Excel. Learn more: https://go.microsoft.com/fwlink/?linkid=870924
Comment:
    When would it be N/A or blank?
Reply:
    Is this the same as Application fee due on Horizon or is his an earlier agreed fee?</t>
      </text>
    </comment>
    <comment ref="L1" authorId="9" shapeId="0" xr:uid="{88781C4A-1F4A-439B-B631-4A8142F4BE83}">
      <text>
        <t>[Threaded comment]
Your version of Excel allows you to read this threaded comment; however, any edits to it will get removed if the file is opened in a newer version of Excel. Learn more: https://go.microsoft.com/fwlink/?linkid=870924
Comment:
    Letter of intent?</t>
      </text>
    </comment>
    <comment ref="O1" authorId="10" shapeId="0" xr:uid="{A46241A1-D51D-4498-976B-28EF95198219}">
      <text>
        <t>[Threaded comment]
Your version of Excel allows you to read this threaded comment; however, any edits to it will get removed if the file is opened in a newer version of Excel. Learn more: https://go.microsoft.com/fwlink/?linkid=870924
Comment:
    Is this always the same as Application Description on Horizon? Can they be one field?</t>
      </text>
    </comment>
    <comment ref="P1" authorId="11" shapeId="0" xr:uid="{4F07029F-34B3-4FAF-959A-15F273B33057}">
      <text>
        <t>[Threaded comment]
Your version of Excel allows you to read this threaded comment; however, any edits to it will get removed if the file is opened in a newer version of Excel. Learn more: https://go.microsoft.com/fwlink/?linkid=870924
Comment:
    Potentially need more than one inspector field if different inspectors are required for different stages? Pre-app to application, but also validation to case?
Reply:
    On non-major do we need to include a separate field for planning officer? Or do we include in the question 'This could also be a planning officer'?</t>
      </text>
    </comment>
    <comment ref="S1" authorId="12" shapeId="0" xr:uid="{618CF914-276E-4C2B-B064-5D7E5CCB85B5}">
      <text>
        <t>[Threaded comment]
Your version of Excel allows you to read this threaded comment; however, any edits to it will get removed if the file is opened in a newer version of Excel. Learn more: https://go.microsoft.com/fwlink/?linkid=870924
Comment:
    Same as 'Application fee due' or 'Application fee' under fees received on Horizon?
Reply:
    Application fee notes on Horizon, could these go into general notes? Or do they need to be separated?</t>
      </text>
    </comment>
    <comment ref="T1" authorId="13" shapeId="0" xr:uid="{28709D4B-8503-4F08-B378-CC8F4D10739B}">
      <text>
        <t>[Threaded comment]
Your version of Excel allows you to read this threaded comment; however, any edits to it will get removed if the file is opened in a newer version of Excel. Learn more: https://go.microsoft.com/fwlink/?linkid=870924
Comment:
    Letter acknowledging application</t>
      </text>
    </comment>
    <comment ref="U1" authorId="14" shapeId="0" xr:uid="{C9449A2E-B139-41C7-9CCD-CDC670F2E5A5}">
      <text>
        <t>[Threaded comment]
Your version of Excel allows you to read this threaded comment; however, any edits to it will get removed if the file is opened in a newer version of Excel. Learn more: https://go.microsoft.com/fwlink/?linkid=870924
Comment:
    What does this mean? And when does this happen?
Reply:
    Is this asking finance to set up a new customer?
Reply:
    Do we need a field for customer number?</t>
      </text>
    </comment>
    <comment ref="V1" authorId="15" shapeId="0" xr:uid="{A076B265-9A99-4BF9-86F8-195724AECB7C}">
      <text>
        <t>[Threaded comment]
Your version of Excel allows you to read this threaded comment; however, any edits to it will get removed if the file is opened in a newer version of Excel. Learn more: https://go.microsoft.com/fwlink/?linkid=870924
Comment:
    Application received and information requested
Reply:
    Is this the same field as Date information sent to LPA (Article 12) on Horizon?</t>
      </text>
    </comment>
    <comment ref="W1" authorId="16" shapeId="0" xr:uid="{1CCBE078-9FB0-4640-8B5C-D4E0B3F24B43}">
      <text>
        <t>[Threaded comment]
Your version of Excel allows you to read this threaded comment; however, any edits to it will get removed if the file is opened in a newer version of Excel. Learn more: https://go.microsoft.com/fwlink/?linkid=870924
Comment:
    What does this mean and when does this happen?
Reply:
    Is this the invoice request?</t>
      </text>
    </comment>
    <comment ref="X1" authorId="17" shapeId="0" xr:uid="{7305E6AC-0D80-4FBF-AF51-0FC7CF7C337B}">
      <text>
        <t>[Threaded comment]
Your version of Excel allows you to read this threaded comment; however, any edits to it will get removed if the file is opened in a newer version of Excel. Learn more: https://go.microsoft.com/fwlink/?linkid=870924
Comment:
    Letter sent if application is invalid and further information is requested</t>
      </text>
    </comment>
    <comment ref="Y1" authorId="18" shapeId="0" xr:uid="{F4B9A658-2CCA-4209-9BE9-0141323BA034}">
      <text>
        <t>[Threaded comment]
Your version of Excel allows you to read this threaded comment; however, any edits to it will get removed if the file is opened in a newer version of Excel. Learn more: https://go.microsoft.com/fwlink/?linkid=870924
Comment:
    Is this if further info has been requested?</t>
      </text>
    </comment>
    <comment ref="Z1" authorId="19" shapeId="0" xr:uid="{0C1E3CA5-B54D-4A12-987D-7D5ECBCF2B7A}">
      <text>
        <t>[Threaded comment]
Your version of Excel allows you to read this threaded comment; however, any edits to it will get removed if the file is opened in a newer version of Excel. Learn more: https://go.microsoft.com/fwlink/?linkid=870924
Comment:
    Same as 'Application fee received date' on Horizon?</t>
      </text>
    </comment>
    <comment ref="AA1" authorId="20" shapeId="0" xr:uid="{20694593-4039-48EE-8E94-CF9CA269E933}">
      <text>
        <t>[Threaded comment]
Your version of Excel allows you to read this threaded comment; however, any edits to it will get removed if the file is opened in a newer version of Excel. Learn more: https://go.microsoft.com/fwlink/?linkid=870924
Comment:
    Only valid once fee has been paid and all docs have been received</t>
      </text>
    </comment>
    <comment ref="AC1" authorId="21" shapeId="0" xr:uid="{6B8A0D29-099A-4E5B-AF04-F6EA4D08AF58}">
      <text>
        <t>[Threaded comment]
Your version of Excel allows you to read this threaded comment; however, any edits to it will get removed if the file is opened in a newer version of Excel. Learn more: https://go.microsoft.com/fwlink/?linkid=870924
Comment:
    Is this something can be in note format detailed on the case going forward, or will it need to be shown next to the document itself?</t>
      </text>
    </comment>
    <comment ref="AE1" authorId="22" shapeId="0" xr:uid="{874DAC06-4CCD-43A5-8A6D-E77B29D13C97}">
      <text>
        <t>[Threaded comment]
Your version of Excel allows you to read this threaded comment; however, any edits to it will get removed if the file is opened in a newer version of Excel. Learn more: https://go.microsoft.com/fwlink/?linkid=870924
Comment:
    Application valid and proceeding</t>
      </text>
    </comment>
    <comment ref="AF1" authorId="23" shapeId="0" xr:uid="{5B54FA65-DC79-4AAF-B0E3-7E55AB342F9A}">
      <text>
        <t>[Threaded comment]
Your version of Excel allows you to read this threaded comment; however, any edits to it will get removed if the file is opened in a newer version of Excel. Learn more: https://go.microsoft.com/fwlink/?linkid=870924
Comment:
    Is this the same as 'Date information returned from LPA (Article 14)' on Horizon?</t>
      </text>
    </comment>
    <comment ref="AG1" authorId="24" shapeId="0" xr:uid="{6B0DC3CB-1F18-44D7-A991-AAEBC425E939}">
      <text>
        <t>[Threaded comment]
Your version of Excel allows you to read this threaded comment; however, any edits to it will get removed if the file is opened in a newer version of Excel. Learn more: https://go.microsoft.com/fwlink/?linkid=870924
Comment:
    Is this the Community Infrastructure Levy, when would this be relevant?
Reply:
    Can we use the same question as for Crown: Is the application liable for the community infrastructure levy (CIL)? And if yes, does this require a date field?
Reply:
    On non-major there is a field 'CIL amount' - is this only required for non-major?</t>
      </text>
    </comment>
    <comment ref="AH1" authorId="25" shapeId="0" xr:uid="{A727384E-622F-4E2A-B37A-9A8684EE97FE}">
      <text>
        <t>[Threaded comment]
Your version of Excel allows you to read this threaded comment; however, any edits to it will get removed if the file is opened in a newer version of Excel. Learn more: https://go.microsoft.com/fwlink/?linkid=870924
Comment:
    Environmental services team
Reply:
    have 3 weeks from valid date for EST (Environmental services team)
Only sent to EST for major cases
Reply:
    Again are you happy with the same format of Crown on this?
Reply:
    Would you ever do a screening for a pre-application?</t>
      </text>
    </comment>
    <comment ref="AI1" authorId="26" shapeId="0" xr:uid="{218A44A8-775C-4DF1-A0B1-B1509EB09A74}">
      <text>
        <t>[Threaded comment]
Your version of Excel allows you to read this threaded comment; however, any edits to it will get removed if the file is opened in a newer version of Excel. Learn more: https://go.microsoft.com/fwlink/?linkid=870924
Comment:
    Often send just to be sure, but not often required</t>
      </text>
    </comment>
    <comment ref="AJ1" authorId="27" shapeId="0" xr:uid="{40956590-99A9-4E6E-ACCC-06740DB796C1}">
      <text>
        <t>[Threaded comment]
Your version of Excel allows you to read this threaded comment; however, any edits to it will get removed if the file is opened in a newer version of Excel. Learn more: https://go.microsoft.com/fwlink/?linkid=870924
Comment:
    Is this the same as 'Representation period opens' on Horizon?</t>
      </text>
    </comment>
    <comment ref="AK1" authorId="28" shapeId="0" xr:uid="{F332E4E8-8908-4C07-ABED-4A9AD17A3055}">
      <text>
        <t>[Threaded comment]
Your version of Excel allows you to read this threaded comment; however, any edits to it will get removed if the file is opened in a newer version of Excel. Learn more: https://go.microsoft.com/fwlink/?linkid=870924
Comment:
    Is this the same as 'Representation period closes' on Horizon?</t>
      </text>
    </comment>
    <comment ref="AL1" authorId="29" shapeId="0" xr:uid="{21A937CC-3067-469A-AE6F-2B4000AB16A4}">
      <text>
        <t>[Threaded comment]
Your version of Excel allows you to read this threaded comment; however, any edits to it will get removed if the file is opened in a newer version of Excel. Learn more: https://go.microsoft.com/fwlink/?linkid=870924
Comment:
    Is this the same as 'Date neighbours notified (by LPA)' on Horizon?</t>
      </text>
    </comment>
    <comment ref="AM1" authorId="30" shapeId="0" xr:uid="{9E9F100C-2A67-4B70-93D6-FA6C298C9685}">
      <text>
        <t>[Threaded comment]
Your version of Excel allows you to read this threaded comment; however, any edits to it will get removed if the file is opened in a newer version of Excel. Learn more: https://go.microsoft.com/fwlink/?linkid=870924
Comment:
    Target date
Reply:
    Is this always the same date as consultations deadline? Do we need two separate fields?</t>
      </text>
    </comment>
    <comment ref="AN1" authorId="31" shapeId="0" xr:uid="{8080E1C0-E35C-4A95-9507-056D2EF9FCA4}">
      <text>
        <t>[Threaded comment]
Your version of Excel allows you to read this threaded comment; however, any edits to it will get removed if the file is opened in a newer version of Excel. Learn more: https://go.microsoft.com/fwlink/?linkid=870924
Comment:
    Do we want to split these out into separate fields? Date placed, where, cost, reference?
Reply:
    Is this the same as 'Newspaper advert date' on Horizon? And/or 'Site notice date (Article 14)?</t>
      </text>
    </comment>
    <comment ref="AP1" authorId="32" shapeId="0" xr:uid="{1A7D5C88-576F-450E-8E0A-C70EF415271E}">
      <text>
        <t>[Threaded comment]
Your version of Excel allows you to read this threaded comment; however, any edits to it will get removed if the file is opened in a newer version of Excel. Learn more: https://go.microsoft.com/fwlink/?linkid=870924
Comment:
    Is there any difference in this date to the consultations deadline?</t>
      </text>
    </comment>
    <comment ref="AQ1" authorId="33" shapeId="0" xr:uid="{A7348A0D-BE63-41C4-B2C6-091D24C8C753}">
      <text>
        <t>[Threaded comment]
Your version of Excel allows you to read this threaded comment; however, any edits to it will get removed if the file is opened in a newer version of Excel. Learn more: https://go.microsoft.com/fwlink/?linkid=870924
Comment:
    Is this the same as 'Date reresentations published (Article 21)' on Horizon?</t>
      </text>
    </comment>
    <comment ref="AR1" authorId="34" shapeId="0" xr:uid="{B3C3339D-209F-4ADB-BDA5-7A667F0C5457}">
      <text>
        <t>[Threaded comment]
Your version of Excel allows you to read this threaded comment; however, any edits to it will get removed if the file is opened in a newer version of Excel. Learn more: https://go.microsoft.com/fwlink/?linkid=870924
Comment:
    When would this be done vs not done? Where is letter 25?</t>
      </text>
    </comment>
    <comment ref="AS1" authorId="35" shapeId="0" xr:uid="{1F2C85A7-DBEE-4766-88A7-42131AD0D569}">
      <text>
        <t>[Threaded comment]
Your version of Excel allows you to read this threaded comment; however, any edits to it will get removed if the file is opened in a newer version of Excel. Learn more: https://go.microsoft.com/fwlink/?linkid=870924
Comment:
    Not a CMC it would be adhoc meetings about the case - change title</t>
      </text>
    </comment>
    <comment ref="AT1" authorId="36" shapeId="0" xr:uid="{C7430033-C730-4DF9-9AF3-08EE93F4320A}">
      <text>
        <t>[Threaded comment]
Your version of Excel allows you to read this threaded comment; however, any edits to it will get removed if the file is opened in a newer version of Excel. Learn more: https://go.microsoft.com/fwlink/?linkid=870924
Comment:
    Split these fields out into type and date</t>
      </text>
    </comment>
    <comment ref="AU1" authorId="37" shapeId="0" xr:uid="{B994E4CE-8CE4-4897-9827-FB577C1A73F6}">
      <text>
        <t>[Threaded comment]
Your version of Excel allows you to read this threaded comment; however, any edits to it will get removed if the file is opened in a newer version of Excel. Learn more: https://go.microsoft.com/fwlink/?linkid=870924
Comment:
    What details need to be recorded generally for reconsultation? Do we replace any original dates or does it need a new section?</t>
      </text>
    </comment>
    <comment ref="AW1" authorId="38" shapeId="0" xr:uid="{7230597F-7FCA-4C68-9C2F-B1C254CD3CB5}">
      <text>
        <t xml:space="preserve">[Threaded comment]
Your version of Excel allows you to read this threaded comment; however, any edits to it will get removed if the file is opened in a newer version of Excel. Learn more: https://go.microsoft.com/fwlink/?linkid=870924
Comment:
    Pre hearing note and associated agenda. Sent 2 weeks before hearing for major and 1 week for non-major. </t>
      </text>
    </comment>
    <comment ref="AX1" authorId="39" shapeId="0" xr:uid="{B6BB2327-868B-4F2E-95B8-06B17B11BCCB}">
      <text>
        <t>[Threaded comment]
Your version of Excel allows you to read this threaded comment; however, any edits to it will get removed if the file is opened in a newer version of Excel. Learn more: https://go.microsoft.com/fwlink/?linkid=870924
Comment:
    Section 106 (S106) agreement submission is a legally binding document between developers and local planning authorities, submitted during the planning application process to secure public benefits and infrastructure
Reply:
    Where does this sit in the process?</t>
      </text>
    </comment>
    <comment ref="AY1" authorId="40" shapeId="0" xr:uid="{E62E297F-6B5B-4D7F-B42B-78181FF98DF6}">
      <text>
        <t>[Threaded comment]
Your version of Excel allows you to read this threaded comment; however, any edits to it will get removed if the file is opened in a newer version of Excel. Learn more: https://go.microsoft.com/fwlink/?linkid=870924
Comment:
    All start at written reps, inspector determines whether a case goes to hearing, hearing is unlikely for non-major
Reply:
    PCU - need to discuss recovery process with David Morgan</t>
      </text>
    </comment>
    <comment ref="AZ1" authorId="41" shapeId="0" xr:uid="{904A9E76-68F5-45FB-BFE5-68FA7145ABBB}">
      <text>
        <t>[Threaded comment]
Your version of Excel allows you to read this threaded comment; however, any edits to it will get removed if the file is opened in a newer version of Excel. Learn more: https://go.microsoft.com/fwlink/?linkid=870924
Comment:
    Do we need a start and end date? Or will it not ever go on for more than one day?
Reply:
    Do we need to record time?
Reply:
    There are notes on Horizon under procedure section, can these be under general notes?</t>
      </text>
    </comment>
    <comment ref="BA1" authorId="42" shapeId="0" xr:uid="{F8E95640-587F-4D10-B0D8-C3AB077EF52B}">
      <text>
        <t>[Threaded comment]
Your version of Excel allows you to read this threaded comment; however, any edits to it will get removed if the file is opened in a newer version of Excel. Learn more: https://go.microsoft.com/fwlink/?linkid=870924
Comment:
    Depend if EIA required 16 if yes, 13 if not. 8 weeks for non-major
Reply:
    Target date changes - is it useful to have 'Extension of time Agreements target date' as well as original target date so both can be viewed?</t>
      </text>
    </comment>
    <comment ref="BB1" authorId="43" shapeId="0" xr:uid="{07B43C21-ECD4-43ED-A3E8-13B310082E04}">
      <text>
        <t>[Threaded comment]
Your version of Excel allows you to read this threaded comment; however, any edits to it will get removed if the file is opened in a newer version of Excel. Learn more: https://go.microsoft.com/fwlink/?linkid=870924
Comment:
    16 weeks for non-major</t>
      </text>
    </comment>
    <comment ref="BC1" authorId="44" shapeId="0" xr:uid="{286852C0-B29C-48A7-98CE-38085357D204}">
      <text>
        <t>[Threaded comment]
Your version of Excel allows you to read this threaded comment; however, any edits to it will get removed if the file is opened in a newer version of Excel. Learn more: https://go.microsoft.com/fwlink/?linkid=870924
Comment:
    How is it determined if a reader is required?</t>
      </text>
    </comment>
    <comment ref="BE1" authorId="45" shapeId="0" xr:uid="{0E14B917-6642-4732-BF3D-57B1C3A9AEDE}">
      <text>
        <t>[Threaded comment]
Your version of Excel allows you to read this threaded comment; however, any edits to it will get removed if the file is opened in a newer version of Excel. Learn more: https://go.microsoft.com/fwlink/?linkid=870924
Comment:
    Owen mentioned a case would always be granted with conditions, where is this currently being tracked? Should the conditions be detailed on the case?</t>
      </text>
    </comment>
    <comment ref="BF1" authorId="46" shapeId="0" xr:uid="{18357876-9357-4914-837E-A7D344251150}">
      <text>
        <t>[Threaded comment]
Your version of Excel allows you to read this threaded comment; however, any edits to it will get removed if the file is opened in a newer version of Excel. Learn more: https://go.microsoft.com/fwlink/?linkid=870924
Comment:
    Major: 13 weeks non EIA, 16 weeks EIA, 8 weeks non major from valid</t>
      </text>
    </comment>
    <comment ref="S2" authorId="47" shapeId="0" xr:uid="{886B83AF-522B-4C04-8A09-0D7B0D12CA2F}">
      <text>
        <r>
          <rPr>
            <b/>
            <sz val="9"/>
            <color indexed="81"/>
            <rFont val="Tahoma"/>
            <family val="2"/>
          </rPr>
          <t>Boulton, Mark:</t>
        </r>
        <r>
          <rPr>
            <sz val="9"/>
            <color indexed="81"/>
            <rFont val="Tahoma"/>
            <family val="2"/>
          </rPr>
          <t xml:space="preserve">
overpaid by £32.20</t>
        </r>
      </text>
    </comment>
    <comment ref="AF2" authorId="47" shapeId="0" xr:uid="{14AF0765-36CA-4D6D-A2AB-FAF12070AE8C}">
      <text>
        <r>
          <rPr>
            <b/>
            <sz val="9"/>
            <color indexed="81"/>
            <rFont val="Tahoma"/>
            <family val="2"/>
          </rPr>
          <t>Boulton, Mark:</t>
        </r>
        <r>
          <rPr>
            <sz val="9"/>
            <color indexed="81"/>
            <rFont val="Tahoma"/>
            <family val="2"/>
          </rPr>
          <t xml:space="preserve">
LPA sent to applicant on 31/5/22
</t>
        </r>
        <r>
          <rPr>
            <b/>
            <sz val="9"/>
            <color indexed="81"/>
            <rFont val="Tahoma"/>
            <family val="2"/>
          </rPr>
          <t xml:space="preserve">Q findings.
</t>
        </r>
        <r>
          <rPr>
            <sz val="9"/>
            <color indexed="81"/>
            <rFont val="Tahoma"/>
            <family val="2"/>
          </rPr>
          <t>The site is within 2K of SSSI Hatfield Forest
Protected species - SEE APPLICANTS SUBMITTED EGOLOGY REPORT
Tackley NP @ early stage
Supplementary plannin guidance SPD ENGERY EFFICENCY 2007, UDC INTERIM CLIMATE CHANGE 2021 Essex CC parking Standards</t>
        </r>
      </text>
    </comment>
    <comment ref="X3" authorId="47" shapeId="0" xr:uid="{4E9E1C1E-B6ED-46E8-BDAD-8DCE7FFF917C}">
      <text>
        <r>
          <rPr>
            <b/>
            <sz val="9"/>
            <color indexed="81"/>
            <rFont val="Tahoma"/>
            <family val="2"/>
          </rPr>
          <t>Boulton, Mark:</t>
        </r>
        <r>
          <rPr>
            <sz val="9"/>
            <color indexed="81"/>
            <rFont val="Tahoma"/>
            <family val="2"/>
          </rPr>
          <t xml:space="preserve">
Response to invalid letter due by 4/5/22</t>
        </r>
      </text>
    </comment>
    <comment ref="AH3" authorId="47" shapeId="0" xr:uid="{5745FB2B-6102-4FC4-A2E7-3ADEBD90DEF8}">
      <text>
        <r>
          <rPr>
            <b/>
            <sz val="9"/>
            <color indexed="81"/>
            <rFont val="Tahoma"/>
            <family val="2"/>
          </rPr>
          <t>Boulton, Mark:</t>
        </r>
        <r>
          <rPr>
            <sz val="9"/>
            <color indexed="81"/>
            <rFont val="Tahoma"/>
            <family val="2"/>
          </rPr>
          <t xml:space="preserve">
sent 28/4/22</t>
        </r>
      </text>
    </comment>
    <comment ref="BA3" authorId="47" shapeId="0" xr:uid="{CA308A54-3390-4C29-AB87-23B1212C64F9}">
      <text>
        <r>
          <rPr>
            <b/>
            <sz val="9"/>
            <color indexed="81"/>
            <rFont val="Tahoma"/>
            <family val="2"/>
          </rPr>
          <t>Boulton, Mark:</t>
        </r>
        <r>
          <rPr>
            <sz val="9"/>
            <color indexed="81"/>
            <rFont val="Tahoma"/>
            <family val="2"/>
          </rPr>
          <t xml:space="preserve">
was 21/7/22 was 22/9/22</t>
        </r>
      </text>
    </comment>
    <comment ref="AA5" authorId="47" shapeId="0" xr:uid="{9399DDD5-5289-41AB-979A-E3BD94BF075E}">
      <text>
        <r>
          <rPr>
            <b/>
            <sz val="9"/>
            <color indexed="81"/>
            <rFont val="Tahoma"/>
            <family val="2"/>
          </rPr>
          <t>Boulton, Mark:</t>
        </r>
        <r>
          <rPr>
            <sz val="9"/>
            <color indexed="81"/>
            <rFont val="Tahoma"/>
            <family val="2"/>
          </rPr>
          <t xml:space="preserve">
(05/01/2023 was "restart" date for application following receipt of ES)</t>
        </r>
      </text>
    </comment>
    <comment ref="BA5" authorId="47" shapeId="0" xr:uid="{E4639193-F89B-4F82-B169-E08FF14AFB0A}">
      <text>
        <r>
          <rPr>
            <b/>
            <sz val="9"/>
            <color indexed="81"/>
            <rFont val="Tahoma"/>
            <family val="2"/>
          </rPr>
          <t>Boulton, Mark:</t>
        </r>
        <r>
          <rPr>
            <sz val="9"/>
            <color indexed="81"/>
            <rFont val="Tahoma"/>
            <family val="2"/>
          </rPr>
          <t xml:space="preserve">
was 28/10/22
was 27/04/23, extended due to election period
</t>
        </r>
      </text>
    </comment>
    <comment ref="U6" authorId="47" shapeId="0" xr:uid="{CC48EA2E-174D-46CC-B158-B440F3370263}">
      <text>
        <r>
          <rPr>
            <b/>
            <sz val="9"/>
            <color indexed="81"/>
            <rFont val="Tahoma"/>
            <family val="2"/>
          </rPr>
          <t>Boulton, Mark:</t>
        </r>
        <r>
          <rPr>
            <sz val="9"/>
            <color indexed="81"/>
            <rFont val="Tahoma"/>
            <family val="2"/>
          </rPr>
          <t xml:space="preserve">
Customer number 710255 </t>
        </r>
      </text>
    </comment>
    <comment ref="S7" authorId="47" shapeId="0" xr:uid="{CA165346-5D0C-45C2-9656-739CE732E84B}">
      <text>
        <r>
          <rPr>
            <b/>
            <sz val="9"/>
            <color indexed="81"/>
            <rFont val="Tahoma"/>
            <family val="2"/>
          </rPr>
          <t>Boulton, Mark:</t>
        </r>
        <r>
          <rPr>
            <sz val="9"/>
            <color indexed="81"/>
            <rFont val="Tahoma"/>
            <family val="2"/>
          </rPr>
          <t xml:space="preserve">
76.39 hectares </t>
        </r>
      </text>
    </comment>
    <comment ref="U7" authorId="47" shapeId="0" xr:uid="{20686B9C-0A36-457A-882D-A1066265FF0D}">
      <text>
        <r>
          <rPr>
            <b/>
            <sz val="9"/>
            <color indexed="81"/>
            <rFont val="Tahoma"/>
            <family val="2"/>
          </rPr>
          <t>Boulton, Mark:</t>
        </r>
        <r>
          <rPr>
            <sz val="9"/>
            <color indexed="81"/>
            <rFont val="Tahoma"/>
            <family val="2"/>
          </rPr>
          <t xml:space="preserve">
Customer number 708819.  Use "Low Carbon UK Solar Investment Company Limited" for invoice</t>
        </r>
      </text>
    </comment>
    <comment ref="AA7" authorId="47" shapeId="0" xr:uid="{62399F4B-690F-4388-985E-FC9D21DDD51D}">
      <text>
        <r>
          <rPr>
            <b/>
            <sz val="9"/>
            <color indexed="81"/>
            <rFont val="Tahoma"/>
            <family val="2"/>
          </rPr>
          <t>Boulton, Mark:</t>
        </r>
        <r>
          <rPr>
            <sz val="9"/>
            <color indexed="81"/>
            <rFont val="Tahoma"/>
            <family val="2"/>
          </rPr>
          <t xml:space="preserve">
20 Oct 22 was valid date however application was pasued at that time due to ES request</t>
        </r>
      </text>
    </comment>
    <comment ref="BA7" authorId="47" shapeId="0" xr:uid="{A1A43BCD-7CD9-4F0A-9A85-6730C5164378}">
      <text>
        <r>
          <rPr>
            <b/>
            <sz val="9"/>
            <color indexed="81"/>
            <rFont val="Tahoma"/>
            <family val="2"/>
          </rPr>
          <t>Boulton, Mark:</t>
        </r>
        <r>
          <rPr>
            <sz val="9"/>
            <color indexed="81"/>
            <rFont val="Tahoma"/>
            <family val="2"/>
          </rPr>
          <t xml:space="preserve">
16 weeks from ES publication as agreed with applicant</t>
        </r>
      </text>
    </comment>
    <comment ref="BB7" authorId="47" shapeId="0" xr:uid="{65D619E6-B731-42F4-A8E8-02ED87F1DFF4}">
      <text>
        <r>
          <rPr>
            <b/>
            <sz val="9"/>
            <color indexed="81"/>
            <rFont val="Tahoma"/>
            <family val="2"/>
          </rPr>
          <t>Boulton, Mark:</t>
        </r>
        <r>
          <rPr>
            <sz val="9"/>
            <color indexed="81"/>
            <rFont val="Tahoma"/>
            <family val="2"/>
          </rPr>
          <t xml:space="preserve">
16 weeks from ES publication as agreed with applicant</t>
        </r>
      </text>
    </comment>
    <comment ref="O8" authorId="47" shapeId="0" xr:uid="{E0CA2F2A-F21D-4B93-9B58-804E9D9EE4EC}">
      <text>
        <r>
          <rPr>
            <b/>
            <sz val="9"/>
            <color indexed="81"/>
            <rFont val="Tahoma"/>
            <family val="2"/>
          </rPr>
          <t>Boulton, Mark:</t>
        </r>
        <r>
          <rPr>
            <sz val="9"/>
            <color indexed="81"/>
            <rFont val="Tahoma"/>
            <family val="2"/>
          </rPr>
          <t xml:space="preserve">
Was "The erection of up to 170 dwellings, associated landscaping and open space with access from Thaxted Road."</t>
        </r>
      </text>
    </comment>
    <comment ref="BA8" authorId="47" shapeId="0" xr:uid="{49899AA3-C2D0-4A97-96E3-E6EAB8EF8BB0}">
      <text>
        <r>
          <rPr>
            <b/>
            <sz val="9"/>
            <color indexed="81"/>
            <rFont val="Tahoma"/>
            <family val="2"/>
          </rPr>
          <t>Boulton, Mark:</t>
        </r>
        <r>
          <rPr>
            <sz val="9"/>
            <color indexed="81"/>
            <rFont val="Tahoma"/>
            <family val="2"/>
          </rPr>
          <t xml:space="preserve">
was 8/3/23.  Was 22/3/23</t>
        </r>
      </text>
    </comment>
    <comment ref="AA9" authorId="47" shapeId="0" xr:uid="{215EAF83-5C70-4212-875E-6DE8E2F8F2A4}">
      <text>
        <r>
          <rPr>
            <b/>
            <sz val="9"/>
            <color indexed="81"/>
            <rFont val="Tahoma"/>
            <family val="2"/>
          </rPr>
          <t>Boulton, Mark:</t>
        </r>
        <r>
          <rPr>
            <sz val="9"/>
            <color indexed="81"/>
            <rFont val="Tahoma"/>
            <family val="2"/>
          </rPr>
          <t xml:space="preserve">
date additional docs received.</t>
        </r>
      </text>
    </comment>
    <comment ref="AZ9" authorId="47" shapeId="0" xr:uid="{BE4698D0-4AEE-490F-B36B-A98DD6C8BF8C}">
      <text>
        <r>
          <rPr>
            <b/>
            <sz val="9"/>
            <color indexed="81"/>
            <rFont val="Tahoma"/>
            <family val="2"/>
          </rPr>
          <t>Boulton, Mark:</t>
        </r>
        <r>
          <rPr>
            <sz val="9"/>
            <color indexed="81"/>
            <rFont val="Tahoma"/>
            <family val="2"/>
          </rPr>
          <t xml:space="preserve">
provisional date of 25/10/22 and 17/1/23 postponed.  13/4/23 PPd,  Insp unwell</t>
        </r>
      </text>
    </comment>
    <comment ref="BA9" authorId="47" shapeId="0" xr:uid="{A2DBB242-AEDB-42EE-A474-D490E12F6204}">
      <text>
        <r>
          <rPr>
            <b/>
            <sz val="9"/>
            <color indexed="81"/>
            <rFont val="Tahoma"/>
            <family val="2"/>
          </rPr>
          <t>Boulton, Mark:</t>
        </r>
        <r>
          <rPr>
            <sz val="9"/>
            <color indexed="81"/>
            <rFont val="Tahoma"/>
            <family val="2"/>
          </rPr>
          <t xml:space="preserve">
was 16/11/22.  Was 14/2/23.  WaS 11/5/23</t>
        </r>
      </text>
    </comment>
    <comment ref="AC10" authorId="47" shapeId="0" xr:uid="{A811729D-641E-49E3-85FC-345AC1C47124}">
      <text>
        <r>
          <rPr>
            <b/>
            <sz val="9"/>
            <color indexed="81"/>
            <rFont val="Tahoma"/>
            <family val="2"/>
          </rPr>
          <t>Boulton, Mark:</t>
        </r>
        <r>
          <rPr>
            <sz val="9"/>
            <color indexed="81"/>
            <rFont val="Tahoma"/>
            <family val="2"/>
          </rPr>
          <t xml:space="preserve">
Check how to handle these re publishing before application validated</t>
        </r>
      </text>
    </comment>
    <comment ref="AF10" authorId="47" shapeId="0" xr:uid="{823A88B0-613E-43DA-8E99-326A869F53EF}">
      <text>
        <r>
          <rPr>
            <b/>
            <sz val="9"/>
            <color indexed="81"/>
            <rFont val="Tahoma"/>
            <family val="2"/>
          </rPr>
          <t>Boulton, Mark:</t>
        </r>
        <r>
          <rPr>
            <sz val="9"/>
            <color indexed="81"/>
            <rFont val="Tahoma"/>
            <family val="2"/>
          </rPr>
          <t xml:space="preserve">
LPA sent to applicant on 31/5/22
</t>
        </r>
        <r>
          <rPr>
            <b/>
            <sz val="9"/>
            <color indexed="81"/>
            <rFont val="Tahoma"/>
            <family val="2"/>
          </rPr>
          <t xml:space="preserve">Q findings.
</t>
        </r>
        <r>
          <rPr>
            <sz val="9"/>
            <color indexed="81"/>
            <rFont val="Tahoma"/>
            <family val="2"/>
          </rPr>
          <t>The site is within 2K of SSSI Hatfield Forest
Protected species - SEE APPLICANTS SUBMITTED EGOLOGY REPORT
Tackley NP @ early stage
Supplementary plannin guidance SPD ENGERY EFFICENCY 2007, UDC INTERIM CLIMATE CHANGE 2021 Essex CC parking Standards</t>
        </r>
      </text>
    </comment>
    <comment ref="AZ10" authorId="47" shapeId="0" xr:uid="{13E8E2EB-E152-4A09-BE67-9F918603C7E8}">
      <text>
        <r>
          <rPr>
            <b/>
            <sz val="9"/>
            <color indexed="81"/>
            <rFont val="Tahoma"/>
            <family val="2"/>
          </rPr>
          <t>Boulton, Mark:</t>
        </r>
        <r>
          <rPr>
            <sz val="9"/>
            <color indexed="81"/>
            <rFont val="Tahoma"/>
            <family val="2"/>
          </rPr>
          <t xml:space="preserve">
Was provisionally 10/1/23</t>
        </r>
      </text>
    </comment>
    <comment ref="BA10" authorId="48" shapeId="0" xr:uid="{3085B041-1015-4637-888F-4525DAE8D4F0}">
      <text>
        <r>
          <rPr>
            <b/>
            <sz val="9"/>
            <color indexed="81"/>
            <rFont val="Tahoma"/>
            <family val="2"/>
          </rPr>
          <t>Palmer, Leanne:</t>
        </r>
        <r>
          <rPr>
            <sz val="9"/>
            <color indexed="81"/>
            <rFont val="Tahoma"/>
            <family val="2"/>
          </rPr>
          <t xml:space="preserve">
was 1 Feb 2023
was 12 May 2023
</t>
        </r>
      </text>
    </comment>
    <comment ref="AW11" authorId="47" shapeId="0" xr:uid="{0B7EF1CE-584E-4175-BA74-527E725294FF}">
      <text>
        <r>
          <rPr>
            <b/>
            <sz val="9"/>
            <color indexed="81"/>
            <rFont val="Tahoma"/>
            <family val="2"/>
          </rPr>
          <t>Boulton, Mark:</t>
        </r>
        <r>
          <rPr>
            <sz val="9"/>
            <color indexed="81"/>
            <rFont val="Tahoma"/>
            <family val="2"/>
          </rPr>
          <t xml:space="preserve">
was 18/7/23</t>
        </r>
      </text>
    </comment>
    <comment ref="AZ11" authorId="47" shapeId="0" xr:uid="{63D2198C-48C1-428E-9A74-3C1774DA93EF}">
      <text>
        <r>
          <rPr>
            <b/>
            <sz val="9"/>
            <color indexed="81"/>
            <rFont val="Tahoma"/>
            <family val="2"/>
          </rPr>
          <t>Boulton, Mark:</t>
        </r>
        <r>
          <rPr>
            <sz val="9"/>
            <color indexed="81"/>
            <rFont val="Tahoma"/>
            <family val="2"/>
          </rPr>
          <t xml:space="preserve">
was 18/7/23</t>
        </r>
      </text>
    </comment>
    <comment ref="BA11" authorId="47" shapeId="0" xr:uid="{D40E8CDE-A71E-4D98-ABCB-290BC7D59749}">
      <text>
        <r>
          <rPr>
            <b/>
            <sz val="9"/>
            <color indexed="81"/>
            <rFont val="Tahoma"/>
            <family val="2"/>
          </rPr>
          <t>Boulton, Mark:</t>
        </r>
        <r>
          <rPr>
            <sz val="9"/>
            <color indexed="81"/>
            <rFont val="Tahoma"/>
            <family val="2"/>
          </rPr>
          <t xml:space="preserve">
was 18/7/23</t>
        </r>
      </text>
    </comment>
    <comment ref="AZ12" authorId="49" shapeId="0" xr:uid="{56EAFB08-00E9-4BAD-B859-B8E7062529E3}">
      <text>
        <t>[Threaded comment]
Your version of Excel allows you to read this threaded comment; however, any edits to it will get removed if the file is opened in a newer version of Excel. Learn more: https://go.microsoft.com/fwlink/?linkid=870924
Comment:
    was 20 June 2023</t>
      </text>
    </comment>
    <comment ref="BA12" authorId="48" shapeId="0" xr:uid="{C483D77B-E8C6-4353-A6B1-164D7AD0140C}">
      <text>
        <r>
          <rPr>
            <b/>
            <sz val="9"/>
            <color indexed="81"/>
            <rFont val="Tahoma"/>
            <family val="2"/>
          </rPr>
          <t>Palmer, Leanne:</t>
        </r>
        <r>
          <rPr>
            <sz val="9"/>
            <color indexed="81"/>
            <rFont val="Tahoma"/>
            <family val="2"/>
          </rPr>
          <t xml:space="preserve">
was 24 July 2023</t>
        </r>
      </text>
    </comment>
    <comment ref="BA15" authorId="47" shapeId="0" xr:uid="{7EF04157-FD23-4907-BC30-4C65F6C64941}">
      <text>
        <r>
          <rPr>
            <b/>
            <sz val="9"/>
            <color indexed="81"/>
            <rFont val="Tahoma"/>
            <family val="2"/>
          </rPr>
          <t>Boulton, Mark:</t>
        </r>
        <r>
          <rPr>
            <sz val="9"/>
            <color indexed="81"/>
            <rFont val="Tahoma"/>
            <family val="2"/>
          </rPr>
          <t xml:space="preserve">
was 1 Nov 23</t>
        </r>
      </text>
    </comment>
    <comment ref="U17" authorId="47" shapeId="0" xr:uid="{1637DCEF-BDCF-40F1-AA34-0CE0D201366E}">
      <text>
        <r>
          <rPr>
            <b/>
            <sz val="9"/>
            <color indexed="81"/>
            <rFont val="Tahoma"/>
            <family val="2"/>
          </rPr>
          <t>Boulton, Mark:</t>
        </r>
        <r>
          <rPr>
            <sz val="9"/>
            <color indexed="81"/>
            <rFont val="Tahoma"/>
            <family val="2"/>
          </rPr>
          <t xml:space="preserve">
Customer number 710312 </t>
        </r>
      </text>
    </comment>
    <comment ref="BA18" authorId="47" shapeId="0" xr:uid="{9235D560-D206-4D95-BEF1-044607B35C5C}">
      <text>
        <r>
          <rPr>
            <b/>
            <sz val="9"/>
            <color indexed="81"/>
            <rFont val="Tahoma"/>
            <family val="2"/>
          </rPr>
          <t>Boulton, Mark:</t>
        </r>
        <r>
          <rPr>
            <sz val="9"/>
            <color indexed="81"/>
            <rFont val="Tahoma"/>
            <family val="2"/>
          </rPr>
          <t xml:space="preserve">
was 6/2/24</t>
        </r>
      </text>
    </comment>
    <comment ref="AZ19" authorId="47" shapeId="0" xr:uid="{3471EEB4-8FBD-4402-A46F-196E080BC717}">
      <text>
        <r>
          <rPr>
            <b/>
            <sz val="9"/>
            <color indexed="81"/>
            <rFont val="Tahoma"/>
            <family val="2"/>
          </rPr>
          <t>Boulton, Mark:</t>
        </r>
        <r>
          <rPr>
            <sz val="9"/>
            <color indexed="81"/>
            <rFont val="Tahoma"/>
            <family val="2"/>
          </rPr>
          <t xml:space="preserve">
was 19 Dec 2024</t>
        </r>
      </text>
    </comment>
    <comment ref="BA19" authorId="47" shapeId="0" xr:uid="{67BBCFCE-A119-4E4E-8766-C393078A4E82}">
      <text>
        <r>
          <rPr>
            <b/>
            <sz val="9"/>
            <color indexed="81"/>
            <rFont val="Tahoma"/>
            <family val="2"/>
          </rPr>
          <t>Boulton, Mark:</t>
        </r>
        <r>
          <rPr>
            <sz val="9"/>
            <color indexed="81"/>
            <rFont val="Tahoma"/>
            <family val="2"/>
          </rPr>
          <t xml:space="preserve">
was 12/1/24</t>
        </r>
      </text>
    </comment>
    <comment ref="U20" authorId="47" shapeId="0" xr:uid="{8873E1CE-5264-47E6-B211-75445844FB0C}">
      <text>
        <r>
          <rPr>
            <b/>
            <sz val="9"/>
            <color indexed="81"/>
            <rFont val="Tahoma"/>
            <family val="2"/>
          </rPr>
          <t>Boulton, Mark:</t>
        </r>
        <r>
          <rPr>
            <sz val="9"/>
            <color indexed="81"/>
            <rFont val="Tahoma"/>
            <family val="2"/>
          </rPr>
          <t xml:space="preserve">
Customer number 710319 </t>
        </r>
      </text>
    </comment>
    <comment ref="BA21" authorId="48" shapeId="0" xr:uid="{85DB6C4E-603C-466F-AC26-1BB6E1CD531F}">
      <text>
        <r>
          <rPr>
            <b/>
            <sz val="9"/>
            <color indexed="81"/>
            <rFont val="Tahoma"/>
            <family val="2"/>
          </rPr>
          <t>Palmer, Leanne:</t>
        </r>
        <r>
          <rPr>
            <sz val="9"/>
            <color indexed="81"/>
            <rFont val="Tahoma"/>
            <family val="2"/>
          </rPr>
          <t xml:space="preserve">
was 30 January 2024</t>
        </r>
      </text>
    </comment>
    <comment ref="AZ22" authorId="47" shapeId="0" xr:uid="{AE5C2695-6346-47E1-9D40-ADC5726A70D3}">
      <text>
        <r>
          <rPr>
            <b/>
            <sz val="9"/>
            <color indexed="81"/>
            <rFont val="Tahoma"/>
            <family val="2"/>
          </rPr>
          <t>Boulton, Mark:</t>
        </r>
        <r>
          <rPr>
            <sz val="9"/>
            <color indexed="81"/>
            <rFont val="Tahoma"/>
            <family val="2"/>
          </rPr>
          <t xml:space="preserve">
Was 23/11/23.  Posptoned due to late app submission</t>
        </r>
      </text>
    </comment>
    <comment ref="BA22" authorId="47" shapeId="0" xr:uid="{AD1D8738-13F3-4DEE-A9A9-6626206BF1F4}">
      <text>
        <r>
          <rPr>
            <b/>
            <sz val="9"/>
            <color indexed="81"/>
            <rFont val="Tahoma"/>
            <family val="2"/>
          </rPr>
          <t>Boulton, Mark:</t>
        </r>
        <r>
          <rPr>
            <sz val="9"/>
            <color indexed="81"/>
            <rFont val="Tahoma"/>
            <family val="2"/>
          </rPr>
          <t xml:space="preserve">
was 10 Nov 2023
was 16/1/24</t>
        </r>
      </text>
    </comment>
    <comment ref="U23" authorId="47" shapeId="0" xr:uid="{0BD4CC39-3286-4769-A032-3BE72FDFE6AE}">
      <text>
        <r>
          <rPr>
            <b/>
            <sz val="9"/>
            <color indexed="81"/>
            <rFont val="Tahoma"/>
            <family val="2"/>
          </rPr>
          <t>Boulton, Mark:</t>
        </r>
        <r>
          <rPr>
            <sz val="9"/>
            <color indexed="81"/>
            <rFont val="Tahoma"/>
            <family val="2"/>
          </rPr>
          <t xml:space="preserve">
customer number 708846</t>
        </r>
      </text>
    </comment>
    <comment ref="BA23" authorId="48" shapeId="0" xr:uid="{2814BB1F-EB62-4DEC-A986-216B3F4DDAE9}">
      <text>
        <r>
          <rPr>
            <b/>
            <sz val="9"/>
            <color indexed="81"/>
            <rFont val="Tahoma"/>
            <family val="2"/>
          </rPr>
          <t>Palmer, Leanne:</t>
        </r>
        <r>
          <rPr>
            <sz val="9"/>
            <color indexed="81"/>
            <rFont val="Tahoma"/>
            <family val="2"/>
          </rPr>
          <t xml:space="preserve">
was 21 March 2024</t>
        </r>
      </text>
    </comment>
    <comment ref="U24" authorId="48" shapeId="0" xr:uid="{4FB9A0B8-C98D-41AF-859F-AE2BE2B705C4}">
      <text>
        <r>
          <rPr>
            <b/>
            <sz val="9"/>
            <color indexed="81"/>
            <rFont val="Tahoma"/>
            <family val="2"/>
          </rPr>
          <t>Palmer, Leanne:</t>
        </r>
        <r>
          <rPr>
            <sz val="9"/>
            <color indexed="81"/>
            <rFont val="Tahoma"/>
            <family val="2"/>
          </rPr>
          <t xml:space="preserve">
Customer 710340
</t>
        </r>
      </text>
    </comment>
    <comment ref="BA24" authorId="48" shapeId="0" xr:uid="{4A90E141-53E6-4AE0-95A2-E0FBF2F02D51}">
      <text>
        <r>
          <rPr>
            <b/>
            <sz val="9"/>
            <color indexed="81"/>
            <rFont val="Tahoma"/>
            <family val="2"/>
          </rPr>
          <t>Palmer, Leanne:</t>
        </r>
        <r>
          <rPr>
            <sz val="9"/>
            <color indexed="81"/>
            <rFont val="Tahoma"/>
            <family val="2"/>
          </rPr>
          <t xml:space="preserve">
was 14 May 2024</t>
        </r>
      </text>
    </comment>
    <comment ref="U25" authorId="48" shapeId="0" xr:uid="{B6E012A8-F4F4-4AAA-9650-37EF95444155}">
      <text>
        <r>
          <rPr>
            <b/>
            <sz val="9"/>
            <color indexed="81"/>
            <rFont val="Tahoma"/>
            <family val="2"/>
          </rPr>
          <t>Palmer, Leanne:</t>
        </r>
        <r>
          <rPr>
            <sz val="9"/>
            <color indexed="81"/>
            <rFont val="Tahoma"/>
            <family val="2"/>
          </rPr>
          <t xml:space="preserve">
Customer No: 710324 </t>
        </r>
      </text>
    </comment>
    <comment ref="AZ25" authorId="48" shapeId="0" xr:uid="{7FEE08DE-610C-4CC1-B284-EBCB286A405F}">
      <text>
        <r>
          <rPr>
            <b/>
            <sz val="9"/>
            <color indexed="81"/>
            <rFont val="Tahoma"/>
            <family val="2"/>
          </rPr>
          <t>Palmer, Leanne:</t>
        </r>
        <r>
          <rPr>
            <sz val="9"/>
            <color indexed="81"/>
            <rFont val="Tahoma"/>
            <family val="2"/>
          </rPr>
          <t xml:space="preserve">
was 5 March 2024
</t>
        </r>
      </text>
    </comment>
    <comment ref="BA25" authorId="48" shapeId="0" xr:uid="{66F4ABA5-52DF-49B7-B13B-2C053087679B}">
      <text>
        <r>
          <rPr>
            <b/>
            <sz val="9"/>
            <color indexed="81"/>
            <rFont val="Tahoma"/>
            <family val="2"/>
          </rPr>
          <t>Palmer, Leanne:</t>
        </r>
        <r>
          <rPr>
            <sz val="9"/>
            <color indexed="81"/>
            <rFont val="Tahoma"/>
            <family val="2"/>
          </rPr>
          <t xml:space="preserve">
was 10 April 2024
</t>
        </r>
      </text>
    </comment>
    <comment ref="AZ26" authorId="48" shapeId="0" xr:uid="{05FAF33D-58D6-4767-9457-EB39F8BD5C35}">
      <text>
        <r>
          <rPr>
            <b/>
            <sz val="9"/>
            <color indexed="81"/>
            <rFont val="Tahoma"/>
            <family val="2"/>
          </rPr>
          <t>Palmer, Leanne:</t>
        </r>
        <r>
          <rPr>
            <sz val="9"/>
            <color indexed="81"/>
            <rFont val="Tahoma"/>
            <family val="2"/>
          </rPr>
          <t xml:space="preserve">
was provisonally 27 February 2024. Insp no longer available for date
</t>
        </r>
      </text>
    </comment>
    <comment ref="AP27" authorId="47" shapeId="0" xr:uid="{25BD2329-EEFA-4446-BB70-D7931E9D7432}">
      <text>
        <r>
          <rPr>
            <b/>
            <sz val="9"/>
            <color indexed="81"/>
            <rFont val="Tahoma"/>
            <family val="2"/>
          </rPr>
          <t>Boulton, Mark:</t>
        </r>
        <r>
          <rPr>
            <sz val="9"/>
            <color indexed="81"/>
            <rFont val="Tahoma"/>
            <family val="2"/>
          </rPr>
          <t xml:space="preserve">
NB extended to 29/7/24 on website at request of Insp as additional info from app published re red line boundary</t>
        </r>
      </text>
    </comment>
    <comment ref="BA30" authorId="48" shapeId="0" xr:uid="{18815D1D-D653-4A8A-B06F-01947D4B4D77}">
      <text>
        <r>
          <rPr>
            <b/>
            <sz val="9"/>
            <color indexed="81"/>
            <rFont val="Tahoma"/>
            <family val="2"/>
          </rPr>
          <t>Palmer, Leanne:</t>
        </r>
        <r>
          <rPr>
            <sz val="9"/>
            <color indexed="81"/>
            <rFont val="Tahoma"/>
            <family val="2"/>
          </rPr>
          <t xml:space="preserve">
was 30 September 2024
was 31 October 2024
</t>
        </r>
      </text>
    </comment>
    <comment ref="BA31" authorId="48" shapeId="0" xr:uid="{F62F33AE-57D8-42F6-B39C-A39C27D2C56F}">
      <text>
        <r>
          <rPr>
            <b/>
            <sz val="9"/>
            <color indexed="81"/>
            <rFont val="Tahoma"/>
            <family val="2"/>
          </rPr>
          <t>Palmer, Leanne:</t>
        </r>
        <r>
          <rPr>
            <sz val="9"/>
            <color indexed="81"/>
            <rFont val="Tahoma"/>
            <family val="2"/>
          </rPr>
          <t xml:space="preserve">
was 26 November 2024, then 16 December 2024
</t>
        </r>
      </text>
    </comment>
    <comment ref="BA34" authorId="48" shapeId="0" xr:uid="{E7A6C0AE-CB06-4D35-9B0B-63B119C34DBB}">
      <text>
        <r>
          <rPr>
            <b/>
            <sz val="9"/>
            <color indexed="81"/>
            <rFont val="Tahoma"/>
            <family val="2"/>
          </rPr>
          <t>Palmer, Leanne:</t>
        </r>
        <r>
          <rPr>
            <sz val="9"/>
            <color indexed="81"/>
            <rFont val="Tahoma"/>
            <family val="2"/>
          </rPr>
          <t xml:space="preserve">
was 22 April 2025</t>
        </r>
      </text>
    </comment>
    <comment ref="BA35" authorId="48" shapeId="0" xr:uid="{354F1727-6F06-47CB-BD7E-B4D445E29FC8}">
      <text>
        <r>
          <rPr>
            <b/>
            <sz val="9"/>
            <color indexed="81"/>
            <rFont val="Tahoma"/>
            <family val="2"/>
          </rPr>
          <t>Palmer, Leanne:</t>
        </r>
        <r>
          <rPr>
            <sz val="9"/>
            <color indexed="81"/>
            <rFont val="Tahoma"/>
            <family val="2"/>
          </rPr>
          <t xml:space="preserve">
was 14 May 2025</t>
        </r>
      </text>
    </comment>
    <comment ref="BA36" authorId="48" shapeId="0" xr:uid="{DBC7CDE6-FB12-4474-80B0-7333D3C5E4FB}">
      <text>
        <r>
          <rPr>
            <b/>
            <sz val="9"/>
            <color indexed="81"/>
            <rFont val="Tahoma"/>
            <family val="2"/>
          </rPr>
          <t>Palmer, Leanne:</t>
        </r>
        <r>
          <rPr>
            <sz val="9"/>
            <color indexed="81"/>
            <rFont val="Tahoma"/>
            <family val="2"/>
          </rPr>
          <t xml:space="preserve">
was 27 August 2025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tc={5C646F71-C4B7-4B23-AB36-25DBFB437927}</author>
    <author>tc={6997CC3C-AF19-41C6-9CE4-5EE1F8202ED6}</author>
    <author>tc={4E0DE548-8F7E-456F-9F47-2C44B8E96A02}</author>
    <author>tc={87CFBC40-BB86-44CA-8FB4-342FC5A44383}</author>
    <author>Boulton, Mark</author>
    <author>Palmer, Leanne</author>
  </authors>
  <commentList>
    <comment ref="P1" authorId="0" shapeId="0" xr:uid="{5C646F71-C4B7-4B23-AB36-25DBFB437927}">
      <text>
        <t>[Threaded comment]
Your version of Excel allows you to read this threaded comment; however, any edits to it will get removed if the file is opened in a newer version of Excel. Learn more: https://go.microsoft.com/fwlink/?linkid=870924
Comment:
    Do we need to include a seperate field for planning officer? Or do we include in the question 'This could also be a planning officer'?</t>
      </text>
    </comment>
    <comment ref="AT1" authorId="1" shapeId="0" xr:uid="{6997CC3C-AF19-41C6-9CE4-5EE1F8202ED6}">
      <text>
        <t>[Threaded comment]
Your version of Excel allows you to read this threaded comment; however, any edits to it will get removed if the file is opened in a newer version of Excel. Learn more: https://go.microsoft.com/fwlink/?linkid=870924
Comment:
    Should be decided at validation</t>
      </text>
    </comment>
    <comment ref="AV1" authorId="2" shapeId="0" xr:uid="{4E0DE548-8F7E-456F-9F47-2C44B8E96A02}">
      <text>
        <t>[Threaded comment]
Your version of Excel allows you to read this threaded comment; however, any edits to it will get removed if the file is opened in a newer version of Excel. Learn more: https://go.microsoft.com/fwlink/?linkid=870924
Comment:
    Only relevant for major?</t>
      </text>
    </comment>
    <comment ref="AY1" authorId="3" shapeId="0" xr:uid="{87CFBC40-BB86-44CA-8FB4-342FC5A44383}">
      <text>
        <t>[Threaded comment]
Your version of Excel allows you to read this threaded comment; however, any edits to it will get removed if the file is opened in a newer version of Excel. Learn more: https://go.microsoft.com/fwlink/?linkid=870924
Comment:
    Is it always written reps?</t>
      </text>
    </comment>
    <comment ref="BA3" authorId="4" shapeId="0" xr:uid="{8A7D6625-C309-41A0-8A2D-23FF6312D680}">
      <text>
        <r>
          <rPr>
            <b/>
            <sz val="9"/>
            <color indexed="81"/>
            <rFont val="Tahoma"/>
            <family val="2"/>
          </rPr>
          <t>Boulton, Mark:</t>
        </r>
        <r>
          <rPr>
            <sz val="9"/>
            <color indexed="81"/>
            <rFont val="Tahoma"/>
            <family val="2"/>
          </rPr>
          <t xml:space="preserve">
was 29/5/24 extended by agreement</t>
        </r>
      </text>
    </comment>
    <comment ref="BD3" authorId="4" shapeId="0" xr:uid="{5E6885C7-3C87-4982-B492-75A2FAEFF13A}">
      <text>
        <r>
          <rPr>
            <b/>
            <sz val="9"/>
            <color indexed="81"/>
            <rFont val="Tahoma"/>
            <family val="2"/>
          </rPr>
          <t>Boulton, Mark:</t>
        </r>
        <r>
          <rPr>
            <sz val="9"/>
            <color indexed="81"/>
            <rFont val="Tahoma"/>
            <family val="2"/>
          </rPr>
          <t xml:space="preserve">
was 29/5/24 extended by agreement</t>
        </r>
      </text>
    </comment>
    <comment ref="BA26" authorId="5" shapeId="0" xr:uid="{255BD5DD-D769-4B75-9BF6-83E70319A4A5}">
      <text>
        <r>
          <rPr>
            <b/>
            <sz val="9"/>
            <color indexed="81"/>
            <rFont val="Tahoma"/>
            <family val="2"/>
          </rPr>
          <t>Palmer, Leanne:</t>
        </r>
        <r>
          <rPr>
            <sz val="9"/>
            <color indexed="81"/>
            <rFont val="Tahoma"/>
            <family val="2"/>
          </rPr>
          <t xml:space="preserve">
was 7 January 2025
</t>
        </r>
      </text>
    </comment>
    <comment ref="AN37" authorId="5" shapeId="0" xr:uid="{9F442B7A-F6B7-4FA1-85D8-875A481E7638}">
      <text>
        <r>
          <rPr>
            <b/>
            <sz val="9"/>
            <color indexed="81"/>
            <rFont val="Tahoma"/>
            <family val="2"/>
          </rPr>
          <t>Palmer, Leanne:</t>
        </r>
        <r>
          <rPr>
            <sz val="9"/>
            <color indexed="81"/>
            <rFont val="Tahoma"/>
            <family val="2"/>
          </rPr>
          <t xml:space="preserve">
LPA missed notification, consultation extended until 22 April 2025
</t>
        </r>
      </text>
    </comment>
    <comment ref="BA37" authorId="5" shapeId="0" xr:uid="{DDE7F79D-62B0-4465-B1BE-527F6F1D2B59}">
      <text>
        <r>
          <rPr>
            <b/>
            <sz val="9"/>
            <color indexed="81"/>
            <rFont val="Tahoma"/>
            <family val="2"/>
          </rPr>
          <t>Palmer, Leanne:</t>
        </r>
        <r>
          <rPr>
            <sz val="9"/>
            <color indexed="81"/>
            <rFont val="Tahoma"/>
            <family val="2"/>
          </rPr>
          <t xml:space="preserve">
was 22/04/2025. Extension needed due to LPA not carrying out notifications</t>
        </r>
      </text>
    </comment>
    <comment ref="BA44" authorId="5" shapeId="0" xr:uid="{69FA868D-875E-487F-AB76-13D7D43443EB}">
      <text>
        <r>
          <rPr>
            <b/>
            <sz val="9"/>
            <color indexed="81"/>
            <rFont val="Tahoma"/>
            <family val="2"/>
          </rPr>
          <t>Palmer, Leanne:</t>
        </r>
        <r>
          <rPr>
            <sz val="9"/>
            <color indexed="81"/>
            <rFont val="Tahoma"/>
            <family val="2"/>
          </rPr>
          <t xml:space="preserve">
was 15 May 2025</t>
        </r>
      </text>
    </comment>
    <comment ref="BA45" authorId="5" shapeId="0" xr:uid="{9C9CC95B-70F0-4FD0-BA76-115CF9A92090}">
      <text>
        <r>
          <rPr>
            <b/>
            <sz val="9"/>
            <color indexed="81"/>
            <rFont val="Tahoma"/>
            <family val="2"/>
          </rPr>
          <t>Palmer, Leanne:</t>
        </r>
        <r>
          <rPr>
            <sz val="9"/>
            <color indexed="81"/>
            <rFont val="Tahoma"/>
            <family val="2"/>
          </rPr>
          <t xml:space="preserve">
was 2 May 2025</t>
        </r>
      </text>
    </comment>
    <comment ref="BA57" authorId="5" shapeId="0" xr:uid="{0B551E1D-DE5B-4EDC-85AC-25560000C6B4}">
      <text>
        <r>
          <rPr>
            <b/>
            <sz val="9"/>
            <color indexed="81"/>
            <rFont val="Tahoma"/>
            <family val="2"/>
          </rPr>
          <t>Palmer, Leanne:</t>
        </r>
        <r>
          <rPr>
            <sz val="9"/>
            <color indexed="81"/>
            <rFont val="Tahoma"/>
            <family val="2"/>
          </rPr>
          <t xml:space="preserve">
was 8 July 2025</t>
        </r>
      </text>
    </comment>
    <comment ref="BA61" authorId="5" shapeId="0" xr:uid="{2457A4F9-E5CC-41A4-BA4E-2161AAB53A67}">
      <text>
        <r>
          <rPr>
            <b/>
            <sz val="9"/>
            <color indexed="81"/>
            <rFont val="Tahoma"/>
            <family val="2"/>
          </rPr>
          <t>Palmer, Leanne:</t>
        </r>
        <r>
          <rPr>
            <sz val="9"/>
            <color indexed="81"/>
            <rFont val="Tahoma"/>
            <family val="2"/>
          </rPr>
          <t xml:space="preserve">
was 29 September 2025</t>
        </r>
      </text>
    </comment>
    <comment ref="BA62" authorId="5" shapeId="0" xr:uid="{489A605D-C1A2-4AB3-8C53-2F22DDE38F97}">
      <text>
        <r>
          <rPr>
            <b/>
            <sz val="9"/>
            <color indexed="81"/>
            <rFont val="Tahoma"/>
            <family val="2"/>
          </rPr>
          <t>Palmer, Leanne:</t>
        </r>
        <r>
          <rPr>
            <sz val="9"/>
            <color indexed="81"/>
            <rFont val="Tahoma"/>
            <family val="2"/>
          </rPr>
          <t xml:space="preserve">
was 23 September 2025</t>
        </r>
      </text>
    </comment>
    <comment ref="BA65" authorId="5" shapeId="0" xr:uid="{6ED31D6E-D8B1-481E-95D4-B80B21C77671}">
      <text>
        <r>
          <rPr>
            <b/>
            <sz val="9"/>
            <color indexed="81"/>
            <rFont val="Tahoma"/>
            <family val="2"/>
          </rPr>
          <t>Palmer, Leanne:</t>
        </r>
        <r>
          <rPr>
            <sz val="9"/>
            <color indexed="81"/>
            <rFont val="Tahoma"/>
            <family val="2"/>
          </rPr>
          <t xml:space="preserve">
was 7 October 2025
</t>
        </r>
      </text>
    </comment>
    <comment ref="BA66" authorId="5" shapeId="0" xr:uid="{3D9BE7B1-2082-4F4C-85D5-5DF850EAEE15}">
      <text>
        <r>
          <rPr>
            <b/>
            <sz val="9"/>
            <color indexed="81"/>
            <rFont val="Tahoma"/>
            <family val="2"/>
          </rPr>
          <t>Palmer, Leanne:</t>
        </r>
        <r>
          <rPr>
            <sz val="9"/>
            <color indexed="81"/>
            <rFont val="Tahoma"/>
            <family val="2"/>
          </rPr>
          <t xml:space="preserve">
was 15 October 2025</t>
        </r>
      </text>
    </comment>
    <comment ref="BA71" authorId="5" shapeId="0" xr:uid="{0BF7317A-F7C4-45B0-8774-D335A1D7BF1D}">
      <text>
        <r>
          <rPr>
            <b/>
            <sz val="9"/>
            <color indexed="81"/>
            <rFont val="Tahoma"/>
            <family val="2"/>
          </rPr>
          <t>Palmer, Leanne:</t>
        </r>
        <r>
          <rPr>
            <sz val="9"/>
            <color indexed="81"/>
            <rFont val="Tahoma"/>
            <family val="2"/>
          </rPr>
          <t xml:space="preserve">
was 5 November 2025
was 28 November 2025
</t>
        </r>
      </text>
    </comment>
    <comment ref="BA80" authorId="5" shapeId="0" xr:uid="{632C477C-5ACB-4ECA-ABDC-41A9C5971184}">
      <text>
        <r>
          <rPr>
            <b/>
            <sz val="9"/>
            <color indexed="81"/>
            <rFont val="Tahoma"/>
            <family val="2"/>
          </rPr>
          <t>Palmer, Leanne:</t>
        </r>
        <r>
          <rPr>
            <sz val="9"/>
            <color indexed="81"/>
            <rFont val="Tahoma"/>
            <family val="2"/>
          </rPr>
          <t xml:space="preserve">
was 31 December 2025</t>
        </r>
      </text>
    </comment>
    <comment ref="AN87" authorId="5" shapeId="0" xr:uid="{454782D5-6FAE-48BD-B4FC-149C63DA9C1D}">
      <text>
        <r>
          <rPr>
            <b/>
            <sz val="9"/>
            <color indexed="81"/>
            <rFont val="Tahoma"/>
            <family val="2"/>
          </rPr>
          <t>Palmer, Leanne:</t>
        </r>
        <r>
          <rPr>
            <sz val="9"/>
            <color indexed="81"/>
            <rFont val="Tahoma"/>
            <family val="2"/>
          </rPr>
          <t xml:space="preserve">
Site Notice had to be replaced due to errors. Date now 5 January 2026
</t>
        </r>
      </text>
    </comment>
    <comment ref="BA87" authorId="5" shapeId="0" xr:uid="{AE12A141-5FBB-4FE7-9416-2F80026A454A}">
      <text>
        <r>
          <rPr>
            <b/>
            <sz val="9"/>
            <color indexed="81"/>
            <rFont val="Tahoma"/>
            <family val="2"/>
          </rPr>
          <t>Palmer, Leanne:</t>
        </r>
        <r>
          <rPr>
            <sz val="9"/>
            <color indexed="81"/>
            <rFont val="Tahoma"/>
            <family val="2"/>
          </rPr>
          <t xml:space="preserve">
was 14 January 2026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Boulton, Mark</author>
  </authors>
  <commentList>
    <comment ref="F18" authorId="0" shapeId="0" xr:uid="{31924389-37D3-4600-BEFA-15CC373FBCB2}">
      <text>
        <r>
          <rPr>
            <b/>
            <sz val="9"/>
            <color indexed="81"/>
            <rFont val="Tahoma"/>
            <family val="2"/>
          </rPr>
          <t>Boulton, Mark:</t>
        </r>
        <r>
          <rPr>
            <sz val="9"/>
            <color indexed="81"/>
            <rFont val="Tahoma"/>
            <family val="2"/>
          </rPr>
          <t xml:space="preserve">
Residual balance added on 7/8/23.  Review if DEFRA invoice charges added to our balance.</t>
        </r>
      </text>
    </comment>
  </commentList>
</comments>
</file>

<file path=xl/sharedStrings.xml><?xml version="1.0" encoding="utf-8"?>
<sst xmlns="http://schemas.openxmlformats.org/spreadsheetml/2006/main" count="3321" uniqueCount="1674">
  <si>
    <r>
      <t>Pre-application</t>
    </r>
    <r>
      <rPr>
        <sz val="11"/>
        <color theme="1"/>
        <rFont val="Verdana"/>
        <family val="2"/>
      </rPr>
      <t xml:space="preserve"> worksheet is requests for pre-app advice or notifications saying we will be asked.  Green in column A indicates the pre-app request has arrived.  Shaded grey = advice issued/withdrawn/not coming forward.</t>
    </r>
  </si>
  <si>
    <r>
      <t>Application</t>
    </r>
    <r>
      <rPr>
        <sz val="11"/>
        <color theme="1"/>
        <rFont val="Verdana"/>
        <family val="2"/>
      </rPr>
      <t xml:space="preserve"> worksheet is applications that have been submitted (green in column A) or pre-notified but are yet to arrive.  Shaded grey = application decided/withdrawn.</t>
    </r>
  </si>
  <si>
    <t>Current designations</t>
  </si>
  <si>
    <r>
      <rPr>
        <b/>
        <sz val="11"/>
        <color theme="1"/>
        <rFont val="Verdana"/>
        <family val="2"/>
      </rPr>
      <t>Major Applications</t>
    </r>
    <r>
      <rPr>
        <sz val="11"/>
        <color theme="1"/>
        <rFont val="Verdana"/>
        <family val="2"/>
      </rPr>
      <t xml:space="preserve"> - </t>
    </r>
  </si>
  <si>
    <t>Uttlesford</t>
  </si>
  <si>
    <t>de-designated 6 June 2025</t>
  </si>
  <si>
    <t>Lewes</t>
  </si>
  <si>
    <t>Chorley</t>
  </si>
  <si>
    <r>
      <rPr>
        <b/>
        <sz val="11"/>
        <color theme="1"/>
        <rFont val="Verdana"/>
        <family val="2"/>
      </rPr>
      <t>Non-major applications</t>
    </r>
    <r>
      <rPr>
        <sz val="11"/>
        <color theme="1"/>
        <rFont val="Verdana"/>
        <family val="2"/>
      </rPr>
      <t xml:space="preserve"> -</t>
    </r>
  </si>
  <si>
    <t>Bristol</t>
  </si>
  <si>
    <t>St Albans</t>
  </si>
  <si>
    <t xml:space="preserve"> Ref</t>
  </si>
  <si>
    <t>Address</t>
  </si>
  <si>
    <t>LPA</t>
  </si>
  <si>
    <t>Likely issues</t>
  </si>
  <si>
    <t>Level &amp; Specialism</t>
  </si>
  <si>
    <t>Applicant</t>
  </si>
  <si>
    <t>Agent</t>
  </si>
  <si>
    <t>Type of application</t>
  </si>
  <si>
    <t>Pre-notification date</t>
  </si>
  <si>
    <t>Expected submission date</t>
  </si>
  <si>
    <t>Receipt date</t>
  </si>
  <si>
    <t>Development</t>
  </si>
  <si>
    <t>Inspector</t>
  </si>
  <si>
    <t>Case Officer</t>
  </si>
  <si>
    <t>Fee Amount</t>
  </si>
  <si>
    <t>Date Charging schedule sent to applicant</t>
  </si>
  <si>
    <t>Proceed Yes/No?</t>
  </si>
  <si>
    <t>LPA comments due</t>
  </si>
  <si>
    <t>Set up as customer for invoicing? (SAP 8)</t>
  </si>
  <si>
    <t>EIA</t>
  </si>
  <si>
    <t>Site Visit</t>
  </si>
  <si>
    <t>Meeting</t>
  </si>
  <si>
    <t>Advice issued date</t>
  </si>
  <si>
    <t>Invoice SAP5 to FSSD/Payables for forwarding to Applicant</t>
  </si>
  <si>
    <t>Amount Invoiced</t>
  </si>
  <si>
    <t xml:space="preserve">Fee Paid </t>
  </si>
  <si>
    <t>Comments</t>
  </si>
  <si>
    <t>S62A/22/5000001</t>
  </si>
  <si>
    <t>Land adjacent to Stansted Airport, CM24 1QW</t>
  </si>
  <si>
    <t>design, landscape</t>
  </si>
  <si>
    <t>MAG</t>
  </si>
  <si>
    <t xml:space="preserve">14.3MW solar farm </t>
  </si>
  <si>
    <t>NA</t>
  </si>
  <si>
    <t>Screening issued 26/4/22</t>
  </si>
  <si>
    <t>screening request received 7/4/22.  Negative screening direction issued 26/4/22</t>
  </si>
  <si>
    <t>S62A/2022/0013 (pre-app)</t>
  </si>
  <si>
    <t>Land at Cox Ley, Hatfield Heath, Bishop’s Stortford, Nearest postcode CM22 7ER</t>
  </si>
  <si>
    <t>site in GB</t>
  </si>
  <si>
    <t xml:space="preserve">Manor Oak Homes </t>
  </si>
  <si>
    <t>Emma Walker ewalker@phase2planning.co.uk</t>
  </si>
  <si>
    <t>Residential development comprising 59 dwellings (of which 40% will be 
affordable dwellings), with public open space incorporating a trim trail, and 
associated infrastructure. Further details are provided within the Pre-Application 
Planning Report and supporting documents.</t>
  </si>
  <si>
    <t>Gemma Pannell</t>
  </si>
  <si>
    <t>Mark Boulton</t>
  </si>
  <si>
    <t>Yes</t>
  </si>
  <si>
    <t>SAP 8 sent to helpdesk 18/10/22.  Customer number set up 708832 - see HZ - 19/10/22.  (App advised no PO number 18/10/22)</t>
  </si>
  <si>
    <t>Follow up from applicant asking for clarification - 31/1/23</t>
  </si>
  <si>
    <t>S62A/2022/0010 (pre-app)</t>
  </si>
  <si>
    <t>Land to the South of Birchanger Lane, Birchanger, Essex, CM23 5QH</t>
  </si>
  <si>
    <t xml:space="preserve">Tina Dobbs </t>
  </si>
  <si>
    <t>Jamie Cann, Planning Direct jamie@planningdirect.co.uk</t>
  </si>
  <si>
    <t xml:space="preserve">proposed
development of up to 10 residential dwellings </t>
  </si>
  <si>
    <t>Luke Simpson (initial charging schedule done with Gemma Pannell)</t>
  </si>
  <si>
    <t>Yes (10/2/23)</t>
  </si>
  <si>
    <t xml:space="preserve">SAP 8 sent to helpdesk 14/2/23.  Customer number set up 710259 </t>
  </si>
  <si>
    <t>w/c 17 April</t>
  </si>
  <si>
    <r>
      <t xml:space="preserve">S62A/2023/0020 (pre-app) </t>
    </r>
    <r>
      <rPr>
        <sz val="11"/>
        <color rgb="FFFF0000"/>
        <rFont val="Arial"/>
        <family val="2"/>
      </rPr>
      <t>WITHDRAWN 14/7/23</t>
    </r>
  </si>
  <si>
    <t>Stansted Airport, Bassingbourn Road, Stansted, CM24 1QW</t>
  </si>
  <si>
    <t>Design, SustainabilityArchaeology, Ecology and Biodiversity Net Gain, Drainage and flood risk, Accessibility</t>
  </si>
  <si>
    <t>Stansted Airport Ltd (STAL)</t>
  </si>
  <si>
    <t>Andrew.Thompson2@magairports.com&gt;</t>
  </si>
  <si>
    <t>Partial demolition of the existing Track Transit System, full demolition of 2 no. skylink walkways and the bus-gate building; construction of extension to existing passenger terminal, new Domestic Reclaim Building, new energy centre, 3 no. new skylink walkways and associated hardstanding.</t>
  </si>
  <si>
    <t>Matthew Shrigley</t>
  </si>
  <si>
    <t>Yes (12/07/23) but then WITHDRAWN 14/07/23</t>
  </si>
  <si>
    <t xml:space="preserve">already customer </t>
  </si>
  <si>
    <t>WITHDRAWN 14/7/23</t>
  </si>
  <si>
    <t>S62A/2023/0024 (pre-app)</t>
  </si>
  <si>
    <t>Belcham’s Lane and Maces Farm, Rickling Green, Newport, CB11 3YG</t>
  </si>
  <si>
    <t>Pegasi Limited</t>
  </si>
  <si>
    <t>Rapleys Victoria Bennion victoria.bennion@rapleys.com</t>
  </si>
  <si>
    <t xml:space="preserve">Residential led development for ‘build to rent’ accommodation, with wider community facilities within the village centre of Rickling Green. The proposals seek to provide up to 110 dwellings, a recreational facilities and other associated community facilities. </t>
  </si>
  <si>
    <t>Luke Simpson</t>
  </si>
  <si>
    <t>£6951 plus mileage for SV</t>
  </si>
  <si>
    <r>
      <t xml:space="preserve">Sent to SAP helpdesk on 28/9/23.  </t>
    </r>
    <r>
      <rPr>
        <b/>
        <sz val="11"/>
        <color theme="1"/>
        <rFont val="Arial"/>
        <family val="2"/>
      </rPr>
      <t>Customer 710305 – Quendon Estate has been confirmed and is ready for use.</t>
    </r>
  </si>
  <si>
    <t>Local approval obtained by applicant so will not be coming forward under S62A</t>
  </si>
  <si>
    <t>Land North West of Henham Road, Elsenham</t>
  </si>
  <si>
    <t>design, landscape, ecology, drainage and highways</t>
  </si>
  <si>
    <t>Bloor Homes</t>
  </si>
  <si>
    <t>Reserved matters</t>
  </si>
  <si>
    <t>Approval of reserved matters (including details of layout, scale, appearance and landscaping) in relation to the construction of 350 dwellings, internal roads, open space sports pavilion and sports pitch provision, other associated infrastructure including that required to serve future primary school and early years facility.</t>
  </si>
  <si>
    <t>S62A/2024/0033 (pre-app)</t>
  </si>
  <si>
    <t>Land at Wickham Hall, Bishops Stortford, Hertfordshire, CM23 1JG</t>
  </si>
  <si>
    <t>Endurance Energy Wickham Hall Limited</t>
  </si>
  <si>
    <t>Neil.Osborn@dlpconsultants.co.uk</t>
  </si>
  <si>
    <t>Erection of a Solar Photovoltaic Farm with an output capacity not to exceed 14.9MW of energy, with supporting infrastructure and battery storage, inverters and transformers, fencing and landscaping works.</t>
  </si>
  <si>
    <t>Zoe Raygen</t>
  </si>
  <si>
    <t xml:space="preserve">Yes  </t>
  </si>
  <si>
    <t>15/03/2024. Customer no 710585</t>
  </si>
  <si>
    <t>S62A/2024/0035 (pre-app) LPA ref: UTT/24/0879/PE</t>
  </si>
  <si>
    <t>Canfield Moat, High Cross Lane West, Little Canfield, Dunmow, Essex, CM6 1TD</t>
  </si>
  <si>
    <t>Jamie Cann</t>
  </si>
  <si>
    <t>jamie@planningdirect.co.uk</t>
  </si>
  <si>
    <t>Proposed erection of residential dwellings on land serving Canfield Moat</t>
  </si>
  <si>
    <t>Graham Chamberlain</t>
  </si>
  <si>
    <t>i) 9 April 2024 and ii) 19 April 2024</t>
  </si>
  <si>
    <t xml:space="preserve">10/4/24.  Customer number 710591-ANDREW SMITH </t>
  </si>
  <si>
    <t>23/4/24 @ 10.00am</t>
  </si>
  <si>
    <t>Follow up advice issued to applicant (copied to LPA) on 20/5/24.  No charge for this.</t>
  </si>
  <si>
    <t xml:space="preserve">S62A/2024/0052 (pre-app) LPA ref: PREAPP/24/0082 </t>
  </si>
  <si>
    <t>Land east of Harrisons Lane, Ringmer, BN8 5RB</t>
  </si>
  <si>
    <t>Gleeson Land</t>
  </si>
  <si>
    <t>Nick Keeley &lt;Nkeeley@mjgleeson.com&gt;</t>
  </si>
  <si>
    <t>Outline planning application (with all matters reserved except for access) for the demolition of an existing residential property and erection of up to 34 residential dwellings including affordable housing with the provision of access onto Harrisons Lane and pedestrian and cycle access onto Potato Lane alongside public open spaces, biodiversity enhancement, sustainable urban drainage systems, landscaping, infrastructure, and earthworks</t>
  </si>
  <si>
    <t>Graham Chamberlain (available w/c 29 July).  Then on leave for 3 weeks from 9 Aug.</t>
  </si>
  <si>
    <t>yes</t>
  </si>
  <si>
    <t xml:space="preserve">Customer number Gleeson Land Limited 710618 </t>
  </si>
  <si>
    <t>w/c 29/07</t>
  </si>
  <si>
    <t>S62A/2024/0074 (pre-app) LPA ref: PREAPP/25/0001</t>
  </si>
  <si>
    <t>Former St John's School, Firle Road, Seaford, BN25 2HU</t>
  </si>
  <si>
    <t xml:space="preserve">Frontier Estates </t>
  </si>
  <si>
    <t>adrian@qedplanning.co.uk</t>
  </si>
  <si>
    <t>Full</t>
  </si>
  <si>
    <t>detailed planning application for a mixed use development comprising a 70-bedroom care home (Use Class C2), 30 dwellings (Use Class C3) together with associated access, car parking, open space and landscaping.</t>
  </si>
  <si>
    <t>Darren Hendley</t>
  </si>
  <si>
    <t>14/01/2025 - site information 28/01/2025 - proposal comments</t>
  </si>
  <si>
    <t>15/01/2025 710728- FRONTIER ESTATES</t>
  </si>
  <si>
    <t>19/02/2025 11.00am</t>
  </si>
  <si>
    <t>S62A/2025/0086 (pre-app) LPA ref: TBC</t>
  </si>
  <si>
    <t>land east of St Edmunds Lane, Dunmow, Essex, CM6</t>
  </si>
  <si>
    <t>Principle of development;-	Impact on heritage assets;
-	Landscape visual impact;
-	Transport and access;
-	Flood risk &amp; drainage strategy.</t>
  </si>
  <si>
    <t xml:space="preserve">Mulberry Homes </t>
  </si>
  <si>
    <t>locarroll@iceniprojects.com</t>
  </si>
  <si>
    <t>with 4 weeks</t>
  </si>
  <si>
    <t>planning application for c.120 dwellings including affordable homes.</t>
  </si>
  <si>
    <t>04/03/2025 - site information. 18 March 2025 proposal comments</t>
  </si>
  <si>
    <t xml:space="preserve">710772 - Mulberry Homes </t>
  </si>
  <si>
    <t>27/02/2025 USV</t>
  </si>
  <si>
    <t>5 March 2025 at 2.30pm</t>
  </si>
  <si>
    <t>S62A/2025/0083 (pre-app) LPA ref: TBC</t>
  </si>
  <si>
    <t xml:space="preserve">Land East of Lower Road, Little Hallingbury </t>
  </si>
  <si>
    <t xml:space="preserve">Principle of Development (Green Belt/grey belt), Access/Highways, Flood Risk, Illustrative layout and design concepts </t>
  </si>
  <si>
    <t>s.petrosino@nexusplanning.co.uk</t>
  </si>
  <si>
    <t>31/01/2025 or sooner</t>
  </si>
  <si>
    <t>Outline Planning Application with all matters reserved (except for access) for the construction of up to 71 dwellings, together with the provision of open space, landscaping, and associated infrastructure</t>
  </si>
  <si>
    <t>26/02/2025 - site information. 12 March 2025 proposal comments</t>
  </si>
  <si>
    <t xml:space="preserve">710769- HAWRIDGE STRATEGIC LAND LIMITED </t>
  </si>
  <si>
    <t>5 March 2025 at 10.00am</t>
  </si>
  <si>
    <t>02/04/2025, chased afew times and then resent 12/06/2025. Issued 12 June 2025</t>
  </si>
  <si>
    <r>
      <t xml:space="preserve">S62A/22/0008 (pre-app) HZ Ref:  S62A/2022/0008 (pre-app)  </t>
    </r>
    <r>
      <rPr>
        <b/>
        <sz val="11"/>
        <color theme="1"/>
        <rFont val="Arial"/>
        <family val="2"/>
      </rPr>
      <t>Part in Braintree</t>
    </r>
  </si>
  <si>
    <t>Draper’s Farm (Drapers Chase Solar Farm), Rayne, Essex, CM77 6SN</t>
  </si>
  <si>
    <t>Bluestone Energy Ltd</t>
  </si>
  <si>
    <t>Pegasus Ms Alexis Tysler Alexis.Tysler@pegasusgroup.co.uk; ellen.fortt@pegasusgroup.co.uk</t>
  </si>
  <si>
    <t>Installation and operation of a Solar Farm facility together with all associated works, 
equipment and necessary infrastructure (49.99 MW)</t>
  </si>
  <si>
    <t>George Baird</t>
  </si>
  <si>
    <t>Yes (on hold pending response from applicant)</t>
  </si>
  <si>
    <r>
      <t xml:space="preserve">PO received from applicant - 18/10/22 on HZ.  App invoice details on HZ.  </t>
    </r>
    <r>
      <rPr>
        <b/>
        <sz val="11"/>
        <color theme="1"/>
        <rFont val="Arial"/>
        <family val="2"/>
      </rPr>
      <t>Cust number not yet set up.</t>
    </r>
  </si>
  <si>
    <t>Advised applicant to contact Council for screening</t>
  </si>
  <si>
    <t>Charging schedule shared with app 13/10/22.  Awaiting response.  App said they would request screening (from PINS?)  Told EST.  George prepared note with RP/PL re this possibly being an NSIP…</t>
  </si>
  <si>
    <t>S62A/22/0009 (pre-app) HZ Ref:  S62A/2022/0009 (pre-app)</t>
  </si>
  <si>
    <t>Land at Lord Rayleigh’s Farm (Poplars Solar Farm),  Dunmow, Essex, CM6 3JZ.</t>
  </si>
  <si>
    <t>Installation and operation of a Solar Farm facility together with all associated works, 
equipment and necessary infrastructure (49.99MW)</t>
  </si>
  <si>
    <t>covered in fee above</t>
  </si>
  <si>
    <t>S62A/2025/0095 (pre-app) LPA ref: TBC</t>
  </si>
  <si>
    <t>Land at Hill Green Farm Clavering</t>
  </si>
  <si>
    <t>Sustainability, it is located adjacent to the existing settlement of Clavering which is identified in Uttlesford Emerging Local Plan as a larger village and proposed for 122 houses of growth, with the locations yet to be determined.  
Access the site has an existing access onto Wicken road constructed as part of a recent development 
Heritage: The site is not in a conservation area and doesn’t affect any listed buildings, but our draft heritage statement has identified a very low level of harm to a non-designated heritage asset.  
Paragraph 11d: Uttlesford are unable to demonstrate a 5YHLS</t>
  </si>
  <si>
    <t>Pelham Structures Ltd</t>
  </si>
  <si>
    <t>s.bampton@pelham-structures.co.uk</t>
  </si>
  <si>
    <t>28 houses, open space, allotments and tradition orchard and associated infrastructure</t>
  </si>
  <si>
    <t>01/04/2025 - site information. 15 April 2025 proposal comments.  Comments received 15 April 2025</t>
  </si>
  <si>
    <t xml:space="preserve">710791-Pelhams </t>
  </si>
  <si>
    <t>W/c 14/04/2025</t>
  </si>
  <si>
    <t>requested 09/05/2025. Issued 03/06/2025</t>
  </si>
  <si>
    <t>Insp hours = 11.5</t>
  </si>
  <si>
    <t>S62A/2025/0098 (pre-app) LPA ref: TBC</t>
  </si>
  <si>
    <t>Various sites - Land west of Birchanger Lane, Birchanger (“Site A”), Land at Tot Lane, Birchanger (“Site B”), Land at Forest Hall Road, Stansted Mountfitchet (“Site D”) &amp; Land south of Forest Hall Road, Stansted Mountfitchet (“Site E”), Land between Parsonage Lane and Forest Hall School, Stansted Mountfitchet (“Site F”) &amp; Land east of Parsonage Lane and south of Forest Hall School, Stansted Mountfitchet (“Site G”)</t>
  </si>
  <si>
    <t>Green Belt (Grey Belt and openness) considerations, landscape and visual, ecology, arboricultural matters, land use (residential and employment uses) need, accessibility, vehicular access, highways and planning obligation considerations</t>
  </si>
  <si>
    <t xml:space="preserve">City &amp; Country </t>
  </si>
  <si>
    <t>polly.butlin@lichfields.uk</t>
  </si>
  <si>
    <t>The proposed landscape led development is primarily for residential development, but one parcel includes a new c.5ha business park. The 3.5ha land bound by Parsonage Lane &amp; Forest Hall Road(Site F), proposed for c.40 dwellings, is to be the subject of a detailed planning application (residential). The remaining sites are proposed to be the subject of two or more outline planning applications (residential and employment floorspace).</t>
  </si>
  <si>
    <r>
      <t xml:space="preserve">08/04/2025 - site information. 24/04/2025 LPA comments - </t>
    </r>
    <r>
      <rPr>
        <b/>
        <sz val="11"/>
        <color theme="1"/>
        <rFont val="Arial"/>
        <family val="2"/>
      </rPr>
      <t>now due 02/05</t>
    </r>
  </si>
  <si>
    <t>30/04/2025 at 11.00am</t>
  </si>
  <si>
    <t>requested 15/05/2025</t>
  </si>
  <si>
    <t>Insp hours = 16</t>
  </si>
  <si>
    <t>S62A/2025/0100</t>
  </si>
  <si>
    <t>Land to the east of Cox Ley, Hatfield Heath, Essex</t>
  </si>
  <si>
    <t>None Anticipated</t>
  </si>
  <si>
    <t>kcoleman@phase2planning.co.uk</t>
  </si>
  <si>
    <t>Residential development comprising 58 dwellings (of which 50% will be affordable dwellings), with public open space incorporating a trim trail, and associated infrastructure.</t>
  </si>
  <si>
    <t>06/05/2025 site information. 20/05/2025 LPA comments</t>
  </si>
  <si>
    <t xml:space="preserve">710810 MANOR OAK HOMES LTD </t>
  </si>
  <si>
    <t>requested 30/05/2025 issued 12/06/2025</t>
  </si>
  <si>
    <t>Inspector hours 13.25</t>
  </si>
  <si>
    <t>Ref TBC</t>
  </si>
  <si>
    <t>Land South of Dunmow Road, Takeley</t>
  </si>
  <si>
    <t>Amherst Homes</t>
  </si>
  <si>
    <t>sheritage@iceniprojects.com</t>
  </si>
  <si>
    <t>Planning permission for 15 dwellings, the majority of which will be affordable.</t>
  </si>
  <si>
    <t>Pre-application advice?</t>
  </si>
  <si>
    <t>Pre-application reference</t>
  </si>
  <si>
    <t>Estimated fee</t>
  </si>
  <si>
    <t>Expected submission date (not before)</t>
  </si>
  <si>
    <t>Date Insp allocated</t>
  </si>
  <si>
    <t>Fee amount</t>
  </si>
  <si>
    <t>Letter 7 sent to applicant</t>
  </si>
  <si>
    <t>SAP8 to SAP Helpdesk</t>
  </si>
  <si>
    <t>Letter 16 and Q sent to LPA</t>
  </si>
  <si>
    <t>SAP5 to FSSD</t>
  </si>
  <si>
    <t>Letter 8 sent to applicant - invalid (if applicable)</t>
  </si>
  <si>
    <t>Date agreed for submission of additional docs</t>
  </si>
  <si>
    <t>Fee paid</t>
  </si>
  <si>
    <t>Valid Date</t>
  </si>
  <si>
    <t>Application published due date (valid + 5 working days)</t>
  </si>
  <si>
    <t>Any confidential docs?</t>
  </si>
  <si>
    <t>Application documents published actual date</t>
  </si>
  <si>
    <t>Valid letters (17 &amp; 9) to LPA and Applicant</t>
  </si>
  <si>
    <t>LPA Q received</t>
  </si>
  <si>
    <t>LPA CIL response</t>
  </si>
  <si>
    <t>EIA - screening request sent to EST (confirm with EST when application valid)</t>
  </si>
  <si>
    <t>EIA outcome (publish any letter to gov.uk)</t>
  </si>
  <si>
    <t>Consultations sent</t>
  </si>
  <si>
    <t>Consultations deadline (see Statutory Consultees and Town Parish Council list for list of parties consulted)</t>
  </si>
  <si>
    <t>LPA Interested parties notification date</t>
  </si>
  <si>
    <t>LPA Interested parties deadline</t>
  </si>
  <si>
    <t>PINS Interested parties press notice placed and TMP ref</t>
  </si>
  <si>
    <t>TMP amount (not including VAT)</t>
  </si>
  <si>
    <t>PINS interested parties press notice deadline</t>
  </si>
  <si>
    <t>Representations,  LPA Questionnaire published date and procedure decision (within 5 days of close of comment period)</t>
  </si>
  <si>
    <t>Inspectors Interim findings (letter 25 to applicant)</t>
  </si>
  <si>
    <t>CMC date</t>
  </si>
  <si>
    <r>
      <t>Inspector USV or ARSV da</t>
    </r>
    <r>
      <rPr>
        <sz val="10"/>
        <rFont val="Arial"/>
        <family val="2"/>
      </rPr>
      <t>te (if needed)</t>
    </r>
  </si>
  <si>
    <t>Reconsultation details</t>
  </si>
  <si>
    <t>Hearing date notification (at least 2 weeks before hearing for major applications)</t>
  </si>
  <si>
    <t>Issues report published date</t>
  </si>
  <si>
    <t>S106 submitted date</t>
  </si>
  <si>
    <t>Procedure WR/H?  Refer to PCU?</t>
  </si>
  <si>
    <t>Hearing Date</t>
  </si>
  <si>
    <t>Target decision date (13 or 16 weeks from valid)</t>
  </si>
  <si>
    <t>Fee return date (26 weeks from valid)</t>
  </si>
  <si>
    <t>Reader</t>
  </si>
  <si>
    <t xml:space="preserve">Decision date </t>
  </si>
  <si>
    <t>Grant/Refuse</t>
  </si>
  <si>
    <t>Time taken from valid to decision</t>
  </si>
  <si>
    <t>Comments/Notes</t>
  </si>
  <si>
    <t>S62A/22/0000004 (HZ Ref:  S62A/2022/0004)   (LPA ref: UTT/22/1474/PINS)</t>
  </si>
  <si>
    <t>Land east of Parsonage Road, and south of Hall Road, Stansted, Essex, CM22 6PL</t>
  </si>
  <si>
    <t>Countryside Protection Zone allocation, use of Best and Most Versatile Agricultural Land, and visual impact.</t>
  </si>
  <si>
    <t>B3 RE</t>
  </si>
  <si>
    <t>Stansted Airport Limited ('STAL')</t>
  </si>
  <si>
    <t>CBRE (Andrew.Murray@magairports.com; Alistair.Andrew@magairports.com; Allen, Grace.Allen@cbre.com)</t>
  </si>
  <si>
    <t>Full Planning Application Major</t>
  </si>
  <si>
    <t>No.  Screening request made and negative direction issued 26/4/22</t>
  </si>
  <si>
    <t>payment details for MAG in pre-app folders</t>
  </si>
  <si>
    <t>The erection of a 14.3 MW solar photovoltaic farm with associated access tracks, landscaping, supplementary battery storage, and associated infrastructure.</t>
  </si>
  <si>
    <t>Mike Robins</t>
  </si>
  <si>
    <t>screened as pre-app</t>
  </si>
  <si>
    <t>Negative screening direction issued 26/4/22.  Neg screening direction issued by LPA 2/2/22</t>
  </si>
  <si>
    <t>16 June 2022.  Saffron Walden Reporter and Dunmow Broadcast.  To be published 16/6/22.  £337.10 plus VAT</t>
  </si>
  <si>
    <t>Q published 8/6/22.  Others published by 13/7/22</t>
  </si>
  <si>
    <t>Grant</t>
  </si>
  <si>
    <t>6 week challenge period 5 Oct 2022</t>
  </si>
  <si>
    <t>S62A/22/0000002 (HZ Ref:  S62A/22/0002)  (LPA Ref: UTT/22/1040/PINS)</t>
  </si>
  <si>
    <t xml:space="preserve">Friends’ School, Mount Pleasant Rd, Saffron Walden CB11 3EB </t>
  </si>
  <si>
    <t>It is considered that the main issues will be:
•	Heritage and design matters
•	Principle of development
It is also considered possible that other matters might be raised by the LPA, consultees, and/or in third party representations</t>
  </si>
  <si>
    <t>Chase (SW) Ltd (Chase New Homes Ltd)</t>
  </si>
  <si>
    <t>Mark Hodgson, Savills UK Ltd, Unex House, 132-134 Hills Road, Cambridge, CB2 8PA  (jacob.kaven@savills.com;  andy.moffat@savills.com; MHodgson@savills.com)</t>
  </si>
  <si>
    <t xml:space="preserve">Application for Planning Permission and conservation 
area consent for demolition in a conservation area </t>
  </si>
  <si>
    <t>No</t>
  </si>
  <si>
    <t>N/A</t>
  </si>
  <si>
    <t>?</t>
  </si>
  <si>
    <t>Conversion of buildings and demolition of buildings to allow redevelopment to provide 96 dwellings, swimming pool and changing facilities, associated recreation facilities, access and landscaping.</t>
  </si>
  <si>
    <t>Owen Woodwards</t>
  </si>
  <si>
    <t xml:space="preserve">Neg screening direction issued on 13/5/22 </t>
  </si>
  <si>
    <t xml:space="preserve">5 May 2022.  LPA advised - Saffron Walden Reporter only.  Sent to TMP 27/4/22.  To be published on 5/5/22. £181.05    </t>
  </si>
  <si>
    <t xml:space="preserve">Reconsult. Deadline 22/7/22.  To 3Ps who commented and Sport England, Town Council, Built Heritage - got bounce back so sent to enquires@placeservices), UDC (asked them to speak to urban design at UDC), Transport ECC; Ecology ECC; Flood ECC; </t>
  </si>
  <si>
    <t>8 September 2022 Signed copy 13 September 2022</t>
  </si>
  <si>
    <t>6 week challenge period 22 November 2022</t>
  </si>
  <si>
    <t>S62A/2022/0012 (LPA Ref: UTT/22/2760/PINS)</t>
  </si>
  <si>
    <t xml:space="preserve">Land East of Station Road, Elsenham </t>
  </si>
  <si>
    <t>The proposals represent a second Phase of development at Elsenham as Bloor are currently on site with the Phase 1 land to the south.  There are not considered to be any significant issues associated with the proposals and a comprehensive application will be made that has been subject to some pre-application discussions with Officers at Uttlesford District Council and Essex County Council.   The proposals have been screened and Uttlesford District Council have confirmed that the proposals do not constitute EIA development</t>
  </si>
  <si>
    <t xml:space="preserve">Bloor Homes Ltd and Gillian Smith, John Robert Carmichael Smith, Robert Giles Russell Smith and Andrew James Smith  </t>
  </si>
  <si>
    <t>Peter.McKeown@carterjonas.co.uk;</t>
  </si>
  <si>
    <t>Outline with all Matters Reserved apart from Access</t>
  </si>
  <si>
    <t>Yes.  By UDC</t>
  </si>
  <si>
    <t>UTT/22/2136/PA</t>
  </si>
  <si>
    <t xml:space="preserve">Outline Planning Application with all matters Reserved except for the Primary means of access for the development of up to 200 
residential dwellings along with landscaping, public open space and associated infrastructure works. </t>
  </si>
  <si>
    <t>Grahame Kean</t>
  </si>
  <si>
    <t>Land East of Station Road, Elsenham_Ecological Assessment_Final Redacted Version Rev C_Redacted.pdf (this is name of published version and was redacted by applicant)</t>
  </si>
  <si>
    <t>Negative.  No further direction issued as this agreed with LPA's earlier negative direction</t>
  </si>
  <si>
    <t>17-Nov-22 (Henham PC 22/11/22.  Henham PC told 3ps deadline was 22/11/22 so may be some "late".  LPA 25/11/22)</t>
  </si>
  <si>
    <t>27-Oct-22 (£497.54) TMP ref 443455</t>
  </si>
  <si>
    <t>Q published 18/10/22</t>
  </si>
  <si>
    <t>S106 meeting held on 28/11/22</t>
  </si>
  <si>
    <t>6 week challenge period 23 May 2023</t>
  </si>
  <si>
    <t>S62A/22/0006  (HZ Ref:  S62A/2022/0006)   (LPA Ref: UTT/22/2046/PINS)</t>
  </si>
  <si>
    <t>Berden Hall Farm, Ginns Road, Berden</t>
  </si>
  <si>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</si>
  <si>
    <t xml:space="preserve">Berden Solar Limited </t>
  </si>
  <si>
    <t>Kirsty Cassie KCassie@stateraenergy.co.uk</t>
  </si>
  <si>
    <t>Full Planning Application</t>
  </si>
  <si>
    <t>Yes (from LPA)</t>
  </si>
  <si>
    <t>Development of a ground mounted solar farm with a generation capacity of up to 49.99MW, together with associated infrastructure and landscaping.</t>
  </si>
  <si>
    <t>Leanne Palmer</t>
  </si>
  <si>
    <t xml:space="preserve">5 Aug 2022.  Docs redacted and in publishing holding folder. </t>
  </si>
  <si>
    <t xml:space="preserve">PEA Cherryfield &amp; 458_Pelham Solar LEMP 23.06.22 have confidential cover </t>
  </si>
  <si>
    <t>Reg 25 issued 19/8/22</t>
  </si>
  <si>
    <t>11  August 2022 Saffron Walden Reporter. Cost £162.87 plus VAT. Reconsultation 12 January 2023. Saffron Walden Reporter. Cost £257.77 plus VAT (Total £309.32).</t>
  </si>
  <si>
    <t>07/09/2022. App response 09/09/2022. Additional information ie ES due 21/11/2022.  ES submitted 2/12/22</t>
  </si>
  <si>
    <t>Reconsultation on ES &amp; add info. Deadline - 15 February 2023. LPA letters sent &amp; SN displayed 10/01/23. Letters issued to IPs all done by 16/01/23.</t>
  </si>
  <si>
    <t>9 May 2023    (16 weeks)</t>
  </si>
  <si>
    <t>6 week challenge period 20 June 2023.  PAP letter received 1/6/23.</t>
  </si>
  <si>
    <t xml:space="preserve">S62A/2023/0015 (LPA Ref: UTT/23/0246/PINS ) </t>
  </si>
  <si>
    <t>Grange Paddock, Ickleton Road, Elmdon Essex CB11 4GR</t>
  </si>
  <si>
    <t xml:space="preserve">Impact upon landscape, housing supply, highways/transportation, residential amenity, drainage, ecology, and trees </t>
  </si>
  <si>
    <t>Rocol Estates Ltd</t>
  </si>
  <si>
    <t>Tom Coombs &lt;tcoombs@brdtech.co.uk&gt;</t>
  </si>
  <si>
    <t>Outline with some matters reserved (access and site layout for consideration)</t>
  </si>
  <si>
    <t>late Dec 2022/early Jan 2023</t>
  </si>
  <si>
    <t>Application for outline planning permission for the erection of 18 dwellings including provision of access road, car parking and residential amenity space, a drainage pond, and communal open space, with all matters reserved for subsequent approval except for means of access and layout.</t>
  </si>
  <si>
    <t>Simon Dean</t>
  </si>
  <si>
    <t>No screening required as under threshold and not in sensitive area</t>
  </si>
  <si>
    <t>23/2/23 Saffron Walden Reporter (£238.81 + VAT) TMP ref 454227</t>
  </si>
  <si>
    <t>Written reps</t>
  </si>
  <si>
    <t>Refuse</t>
  </si>
  <si>
    <t>6 week challenge period 22 June 2023</t>
  </si>
  <si>
    <t>S62A/2022/0011 (LPA Ref: UTT/22/2624/PINS)</t>
  </si>
  <si>
    <t xml:space="preserve">Land East of Pelham Substation, Maggots End Road, Manuden
 </t>
  </si>
  <si>
    <t xml:space="preserve">A previous application was refused by the Local Planning Authority for 8 reasons. The applicant considers that these have each been overcome through amendments, additional information, and pre-application discussions. However, the issues comprising the previous reasons for refusal may be summarised as: principle of development, landscape/visual impacts, heritage impacts, ecology, highway safety, drainage, decommissioning (s106).
 </t>
  </si>
  <si>
    <t xml:space="preserve">Low Carbon Solar Park 6 Limited </t>
  </si>
  <si>
    <t>Samuel.Dix@lowcarbon.com</t>
  </si>
  <si>
    <t>Full planning permission (non-EIA development)</t>
  </si>
  <si>
    <t>w/c 5 Sept</t>
  </si>
  <si>
    <t>Construction and operation of a solar farm comprising ground mounted solar photovoltaic (PV) arrays and battery storage together with associated development, including inverter cabins, DNO substation, customer switchgear, access, fencing, CCTV cameras and landscaping</t>
  </si>
  <si>
    <t>Cullum Parker (prep day added for 17/8/22 for validation)</t>
  </si>
  <si>
    <t>£121, 391</t>
  </si>
  <si>
    <t>Customer number 708819.  Use "Low Carbon UK Solar Investment Company Limited" for invoice   26 September 2022</t>
  </si>
  <si>
    <t>combined with letter 7</t>
  </si>
  <si>
    <t>delayed due to ES request</t>
  </si>
  <si>
    <t>EcIA_Pelham Spring Farm Solar_v7.0_redact (badger info redacted)</t>
  </si>
  <si>
    <t>ES requested 5/10/22.  Submtted 23/12/22</t>
  </si>
  <si>
    <t>LPA Q says both papers. (£782.46 + VAT) TMP ref 453584</t>
  </si>
  <si>
    <t>S62A/2022/0014 ((LPA Ref: UTT/22/3258/PINS)</t>
  </si>
  <si>
    <t>Land west of Thaxted Road, Saffron Walden</t>
  </si>
  <si>
    <t>Principle (beyond the Settlement boundary) Five year housing land supply, Highways, Ecology, Drainage.  All of these have been considered as part of the pre-application process undertaken with Uttlesford District Council (LPA Ref: UTT/22/1539/PA)</t>
  </si>
  <si>
    <t>Kier Ventures Ltd</t>
  </si>
  <si>
    <t xml:space="preserve">S.brown@woolfbond.co.uk </t>
  </si>
  <si>
    <t>Outline</t>
  </si>
  <si>
    <t>with UDC</t>
  </si>
  <si>
    <t>LPA Ref: UTT/22/1539/PA</t>
  </si>
  <si>
    <t>Outline application for the erection of up to 170 dwellings with access from Thaxted Road with all other matters reserved.</t>
  </si>
  <si>
    <t>Jo Dowling</t>
  </si>
  <si>
    <t>£19, 574</t>
  </si>
  <si>
    <t>Not EIA development.  No action needed as LPA had issed neg screening direction</t>
  </si>
  <si>
    <t>22/12/22 (£238.79 plus VAT TMP ref 448436)</t>
  </si>
  <si>
    <t>Q published 7/12/22</t>
  </si>
  <si>
    <t>See applicant email of 6/12/22 for contact details</t>
  </si>
  <si>
    <t>Info submitted 03/03. Reconsulted 08/03 - deadline 22 March 2023. To UDC, ECC Highways &amp; TC plus all IPs who commented on application</t>
  </si>
  <si>
    <t>6 week challenge period 11 July 2023</t>
  </si>
  <si>
    <t>S62A/22/0007  (HZ Ref:  S62A/2022/0007)   (LPA Ref: UTT/22/2174/PINS)</t>
  </si>
  <si>
    <t>Land to the south of Henham Road,  Elsenham, Essex</t>
  </si>
  <si>
    <t>Principle of development beyond the defined Development Limits of Elsenham;
Potentially, 5 year housing land supply (although it is intended that this be agreed with the LPA);
Landscape and visual impact;
Impact on nearby heritage assets; and
Potentially, traffic impact (although it is hoped that this be agreed with the LHA).
It is also considered possible that other matters might be raised by the LPA, consultees, and/or in third party representations.</t>
  </si>
  <si>
    <t>B2 GA</t>
  </si>
  <si>
    <t>Countryside Partnerships Plc; Sir Richard Nigel Charles Mordaunt, David Arthur John Mordaunt, Tessa Anne Nutting and Peter Anthony Charles Mordaunt</t>
  </si>
  <si>
    <t>jonathanDixon@savills.com;  Carl.Glossop@cpplc.com; Errin Marshall errin.marshall@savills.com</t>
  </si>
  <si>
    <t>Outline planning permission with some matters reserved</t>
  </si>
  <si>
    <t>17 March 2022 and 22 July 2022</t>
  </si>
  <si>
    <t>Residential development comprising 130 dwellings, together with a new vehicular access from Henham Road, public open space, landscaping and associated highways, drainage and other infrastructure works (all matters reserved for subsequent approval apart from the primary means of access, on land to the south of Henham Road, Elsenham)</t>
  </si>
  <si>
    <t>Helen Skinner/Mark Boulton</t>
  </si>
  <si>
    <t>neg screening issued 6/9/22</t>
  </si>
  <si>
    <t>8-Sept-22.  Saffron Walden Reporter and Dunmow Broadcast.  £452.58 plus VAT</t>
  </si>
  <si>
    <t>Q published 24/8/22</t>
  </si>
  <si>
    <t>Updated transport material to be provided by 20/2/23.  ECC Highways comments by 17/3/23.</t>
  </si>
  <si>
    <t>10/05/2023 (venue provided by applicant)</t>
  </si>
  <si>
    <t>6 week challenge period 26 July 2023</t>
  </si>
  <si>
    <t>S62A/22/0005 (HZ Ref S62A/2022/0005) (LPA ref: UTT/22/1897/PINS)</t>
  </si>
  <si>
    <t xml:space="preserve">Canfield Moat, High Cross Lane West, Little Canfield, Dunmow, Essex, CM6 1TD </t>
  </si>
  <si>
    <t xml:space="preserve">Principle of development, the absence of a five year housing supply, the innovative design of the development scheme, ecological gains to be secured and impact upon the highway. </t>
  </si>
  <si>
    <t>Mr Andrew Smith</t>
  </si>
  <si>
    <t xml:space="preserve">Planning Direct.  jamie@planningdirect.co.uk </t>
  </si>
  <si>
    <t>Full planning application proposing the erection of 15 dwellings</t>
  </si>
  <si>
    <t>Susan Hunt</t>
  </si>
  <si>
    <t>19 July 2022 (response due by 9 Aug 2022)</t>
  </si>
  <si>
    <t xml:space="preserve"> APPENDIX 5 ECOLOGICAL ENHANCEMENT PLAN 10949 A1 05.pdf &amp; 33 PRELIMINARY ECOLOGICAL APPRAISAL have confidential cover.  </t>
  </si>
  <si>
    <t>3.4 ha. 01/11/2022</t>
  </si>
  <si>
    <t>negative</t>
  </si>
  <si>
    <t>06/12/2022  (LPA to provide response by 16 Dec 2022)</t>
  </si>
  <si>
    <t>to be published 17 November 2022 Dunmow Broadcast £238.79 plus VAT</t>
  </si>
  <si>
    <t>09/12/2022. App response 16/12/22. Additional information will be provided by 20 January 2023. Will now be submitted by 10 Feb 2023</t>
  </si>
  <si>
    <t>6 week challenge period 8 Aug 2023</t>
  </si>
  <si>
    <t>S62A/2023/0017 (LPA Ref:  UTT/23/0950/PINS)</t>
  </si>
  <si>
    <t>Land at Tilekiln Green, Start Hill, Great Hallingbury CM22 7TA  CM22 7TA</t>
  </si>
  <si>
    <t>Landscape/heritage</t>
  </si>
  <si>
    <t>FKY Limited</t>
  </si>
  <si>
    <t>richard.norman@lichfields.uk; pippa.nisbet@lichfields.uk; isabella.tidswell@lichfields.uk</t>
  </si>
  <si>
    <t>Full planning application</t>
  </si>
  <si>
    <t>Development of the site to create an open logistics facility with associated new access and ancillary office and amenity facilities</t>
  </si>
  <si>
    <t>Cullum Parker</t>
  </si>
  <si>
    <t>Badger appendix</t>
  </si>
  <si>
    <t>Neg screening  direction issued on 25/4/23 (dated 14/4/23)</t>
  </si>
  <si>
    <t>26/05/2023 (9 June for LPA - treat that as end of reps period)</t>
  </si>
  <si>
    <t xml:space="preserve">11/5/23 Saffron Walden reporter and Dunmow Broadcast (£515.51) TMP ref 460405 </t>
  </si>
  <si>
    <t>12/6/23 (last of docs published by this date - LPA has response extension)</t>
  </si>
  <si>
    <t>refuse</t>
  </si>
  <si>
    <t>6 week challenge period 7 Sept 2023</t>
  </si>
  <si>
    <t>S62A/2023/0016 (LPA Ref: UTT/23/0902/PINS)</t>
  </si>
  <si>
    <t xml:space="preserve">Warish Hall Farm, Smiths Green Lane, Takeley, Essex, CM22 6NZ </t>
  </si>
  <si>
    <t>Impacts on the Countryside, CPZ, designated and non-designate heritage assets.  Other issues - Housing, Transport Matters, Design, Ecology, Environmental</t>
  </si>
  <si>
    <t>Weston Homes</t>
  </si>
  <si>
    <t>david.poole@weston-homes.com; jarrod.spencer@weston-homes.com</t>
  </si>
  <si>
    <t xml:space="preserve">Erection of 40no. dwellings, including open space landscaping and associated infrastructure. </t>
  </si>
  <si>
    <t>Neg direction issued 27/4/23</t>
  </si>
  <si>
    <t>01/06/2023 (9 June for LPA - treat that as end of reps period)</t>
  </si>
  <si>
    <t>01/06/2023 (accepted up until 9 June 23)</t>
  </si>
  <si>
    <t>11/05/23 Dunmow Broadcast (355.09 + VAT) TMP ref 460811</t>
  </si>
  <si>
    <t>6 week challenge period 20 Sept 2023</t>
  </si>
  <si>
    <t>S62A/2023/0018 (LPA Ref: UTT/23/0966/PINS)</t>
  </si>
  <si>
    <t xml:space="preserve">Land East of Pines Hill, Stansted Mountfitchet, Essex, CM24 8EY </t>
  </si>
  <si>
    <t>•	Impact on Green Belt.
•	Impact on the landscape.
•	Housing delivery (market, affordable, first homes and self-build / custom build).
•	Sustainability credentials of the site.
•	Biodiversity net gain.
•	Socio-economic considerations.
•	Ecological mitigation.
•	Drainage strategy and mitigation.
•	Impact on trees.
•	Noise impact
•	Transport impact.
•	S106 contributions and requirements.</t>
  </si>
  <si>
    <t>Luxus Homes Stoney Common Ltd</t>
  </si>
  <si>
    <t>peter@pjbplanning.co.uk</t>
  </si>
  <si>
    <t>Outline planning permission with all matters reserved except access</t>
  </si>
  <si>
    <t>The development of up to 31 no residential dwellings with all matters reserved for subsequent approval, except for vehicular access from Pines Hill which is submitted in detail.</t>
  </si>
  <si>
    <t>11/05/23 Saffron Walden reporter and Dunmow Broadcast (568.90 plus VAT) TMP ref 460817</t>
  </si>
  <si>
    <t>06/07/2023 (ARSV)</t>
  </si>
  <si>
    <r>
      <t xml:space="preserve">due </t>
    </r>
    <r>
      <rPr>
        <strike/>
        <sz val="11"/>
        <color theme="1"/>
        <rFont val="Arial"/>
        <family val="2"/>
      </rPr>
      <t>6 July 2023</t>
    </r>
    <r>
      <rPr>
        <sz val="11"/>
        <color theme="1"/>
        <rFont val="Arial"/>
        <family val="2"/>
      </rPr>
      <t xml:space="preserve"> </t>
    </r>
    <r>
      <rPr>
        <strike/>
        <sz val="11"/>
        <color theme="1"/>
        <rFont val="Arial"/>
        <family val="2"/>
      </rPr>
      <t>now 14 July 2023</t>
    </r>
    <r>
      <rPr>
        <sz val="11"/>
        <color theme="1"/>
        <rFont val="Arial"/>
        <family val="2"/>
      </rPr>
      <t xml:space="preserve"> now </t>
    </r>
    <r>
      <rPr>
        <b/>
        <sz val="11"/>
        <color theme="1"/>
        <rFont val="Arial"/>
        <family val="2"/>
      </rPr>
      <t>20 July 2023</t>
    </r>
    <r>
      <rPr>
        <sz val="11"/>
        <color theme="1"/>
        <rFont val="Arial"/>
        <family val="2"/>
      </rPr>
      <t>, UDC part rec 21 July 2023</t>
    </r>
  </si>
  <si>
    <t>6 week challenge period 20 October 2023</t>
  </si>
  <si>
    <t>S62A/2023/0022 (LPA ref UTT/23/1970/PINS)</t>
  </si>
  <si>
    <t>London Stansted Airport, Bassingbourn Road, Stansted CM24 1QW</t>
  </si>
  <si>
    <t>Design, Sustainability, Archaelogy, Ecology and Biodiversity Net Gain, Drainage and flood ris, accessibility</t>
  </si>
  <si>
    <t>Stansted Airport Limited</t>
  </si>
  <si>
    <t xml:space="preserve">Andrew.Thompson2@magairports.com; Alice.Carr@magairports.com; Alistair.Andrew@magairports.com </t>
  </si>
  <si>
    <t>Partial demolition of the existing Track Transit System and full demolition of 2 no. skylink walkways and the bus-gate building.  Construction of a 3-bay extension to the existing passenger building, baggage handling building, plant enclosure and 3 no. skylink walkways and associated hardstanding.</t>
  </si>
  <si>
    <t>Already have cust number</t>
  </si>
  <si>
    <t>01-Aug-23 (combined with letter 7)</t>
  </si>
  <si>
    <t>Neg screening issued 8/8/23</t>
  </si>
  <si>
    <t>15-Sept-23 (extended from 8-Sept-23 as LPA requested so GOV.UK updated to reflect new date for all).Further extended to 20 Sept 2023</t>
  </si>
  <si>
    <t>8-Sept-23 (but accept up to 22 Sept 23 in line with extended deadline given to LPA to 15 Sept and then further extension to reps period to 22 Sept to take into account HE reps and responses)</t>
  </si>
  <si>
    <t>17/8/23.  Saffron Walden reporter and Dunmow Broadcast TMP 470093</t>
  </si>
  <si>
    <t>8-Sept-23 (but accept up to 22 Sept 23)</t>
  </si>
  <si>
    <t>Q published 8/8/23</t>
  </si>
  <si>
    <t>6 week challenge period 12 December 2023</t>
  </si>
  <si>
    <t>S62A/2023/0019  (LPA ref UTT/23/1583/PINS)</t>
  </si>
  <si>
    <t xml:space="preserve">Land to the north of Roseacres, between Parsonage Road and Smiths Green Lane, Takeley, Essex, CM22 6NZ (Land known as Bull Field, Warish Hall Farm, Takeley, Essex) </t>
  </si>
  <si>
    <t>Impact on the Countryside, Impact on the CPZ, Impact on designated and non-designate heritage assets, Housing (including AH), Transport Matters, Design, Ecology, Environmental</t>
  </si>
  <si>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</si>
  <si>
    <t>Neg screening issued 3/8/23</t>
  </si>
  <si>
    <t>17/08/2023 Dunmow Broadcast (387.60 plus VAT) TMP ref 469583</t>
  </si>
  <si>
    <t>Until 6/11/23 on applicant 29 Sept and 1 Oct submission</t>
  </si>
  <si>
    <t>2 Oct 2023 &amp; 13 Nov 2023</t>
  </si>
  <si>
    <r>
      <t xml:space="preserve">6 week challenge period 26 Jan 2024.  </t>
    </r>
    <r>
      <rPr>
        <i/>
        <sz val="11"/>
        <color theme="1"/>
        <rFont val="Arial"/>
        <family val="2"/>
      </rPr>
      <t>HC challenge- Substantive hearing  11-12th June 2024 - 1.5 days.</t>
    </r>
  </si>
  <si>
    <r>
      <t xml:space="preserve">S62A/2023/0029 (LPA Ref. ****) </t>
    </r>
    <r>
      <rPr>
        <b/>
        <sz val="11"/>
        <color rgb="FFFF0000"/>
        <rFont val="Arial"/>
        <family val="2"/>
      </rPr>
      <t>WITHDRAWN 22/12/23</t>
    </r>
  </si>
  <si>
    <t>Brick House Farm, Cock Green, CM6 3JE</t>
  </si>
  <si>
    <t>Landscape and Visual</t>
  </si>
  <si>
    <t>EECO Ltd</t>
  </si>
  <si>
    <t xml:space="preserve">david@valleyenvironmental.org.uk </t>
  </si>
  <si>
    <t>Yes from LPA</t>
  </si>
  <si>
    <t>Solar Tracker. Proposed site area of 1.2ha, including connection to Wool Production business, access and landscaping</t>
  </si>
  <si>
    <t>sent to EST on 6/12/23</t>
  </si>
  <si>
    <t xml:space="preserve">Dunmow Broadcast only </t>
  </si>
  <si>
    <t>Withdrawn 22/12/23</t>
  </si>
  <si>
    <t xml:space="preserve">S62A/2023/0026 (LPA Ref: UTT/23/2622/PINS) </t>
  </si>
  <si>
    <t>Land West Of Robin Hood Road, Elsenham</t>
  </si>
  <si>
    <t>Outline approval was granted for the erection of up to 40 dwellings with all matters reserved except for access, at Appeal (UTT/19/0437/OP and APP/C1570/W/19/3242550) in September 2020.  The general form of development of this proposal is very similar to the approved scheme, i.e., the areas to be developed, and that set aside for open space, sustainable drainage, reptile mitigation, and integration with the public right of way.  This new proposal seeks to secure approval for an alternative access point, which is now proposed to be from Robin Hood Road, rather than from Rush Lane.</t>
  </si>
  <si>
    <t xml:space="preserve">Rosconn, Nigel John Burfield Holmes, Rosemary Holmes, Mark Burfield Holmes, Robert Murton Holmes, Sasha Renwick Holmes, and Tanya Renwick Cran    </t>
  </si>
  <si>
    <t>Craig Nixon &lt;CraigN@phillips-planning.co.uk&gt;  Frazer Hickling &lt;FrazerH@phillips-planning.co.uk&gt;</t>
  </si>
  <si>
    <t xml:space="preserve">Outline planning application with all matters reserved except access </t>
  </si>
  <si>
    <t>Outline application for the erection of up to 40 dwellings with all matters reserved except for access</t>
  </si>
  <si>
    <t>Negative. Draft letter on HZ 20/10. Letter issued 05/12/2023</t>
  </si>
  <si>
    <t>08/01/2024 (extended to 12 Jan 2024 for LPA)</t>
  </si>
  <si>
    <t>Both papers. 14/12/2023 TMP 480163</t>
  </si>
  <si>
    <t>needed by 30/1/24</t>
  </si>
  <si>
    <t>6 week challenge period 8 April  2024</t>
  </si>
  <si>
    <t xml:space="preserve">S62A/2023/0025  (LPA Ref: UTT/23/2616/PINS) </t>
  </si>
  <si>
    <t>Land North of Eldridge Close, Stickling Green, Clavering, Essex</t>
  </si>
  <si>
    <t>The likely issues are; the location and principle of housing on the site; the impact on the character and appearance of the area and landscape harm; impact on highways, ecology, flood risk and SUDS.</t>
  </si>
  <si>
    <t xml:space="preserve">Richstone Procurement Ltd </t>
  </si>
  <si>
    <t>kate@am-plan.com</t>
  </si>
  <si>
    <t>Outline planning application with all matters reserved except access for up to 28 dwellings (class C3) including public open space, sustainable drainage systems, landscaping and associated infrastructure and development</t>
  </si>
  <si>
    <t>negative screening issued 13/11/23</t>
  </si>
  <si>
    <t>Saffron Walden Reporter only 23/11/2023</t>
  </si>
  <si>
    <t>6 week challenge period 11 April  2024.  appeal on same site - 3331461. Let Andy Lumber know when decision issued</t>
  </si>
  <si>
    <t>S62A/2023/0023 (LPA ref UTT/23/2193/PINS )</t>
  </si>
  <si>
    <t>Eastfield Stables, May Walk, Stansted CM24 8SS</t>
  </si>
  <si>
    <t>Effect of the development on the character of the local area</t>
  </si>
  <si>
    <t xml:space="preserve">Stuart Richardson NB Investments UK Limited </t>
  </si>
  <si>
    <t>planrmds@gmail.com</t>
  </si>
  <si>
    <t>Erection of 5 dwellings and associated infrastructure</t>
  </si>
  <si>
    <t>Ben Plenty</t>
  </si>
  <si>
    <t>24/08/2023 (combined with invalid letter)</t>
  </si>
  <si>
    <t>24/08/2023 resent 3/10/23</t>
  </si>
  <si>
    <t>24/08/2023 - resent 3/10/23</t>
  </si>
  <si>
    <r>
      <t xml:space="preserve">24/10/2023 - </t>
    </r>
    <r>
      <rPr>
        <sz val="11"/>
        <color theme="4"/>
        <rFont val="Arial"/>
        <family val="2"/>
      </rPr>
      <t>rec 13/10/2023</t>
    </r>
  </si>
  <si>
    <t>Screening not required 28/9/23</t>
  </si>
  <si>
    <t>20/11/2023 (LPA extended to 24/11/23)</t>
  </si>
  <si>
    <t>26-Oct-23 Saffron Walden reporter and Dunmow Broadcast (TMP ref 476418)</t>
  </si>
  <si>
    <t>6 week challenge period 15 April  2024</t>
  </si>
  <si>
    <t>S62A/2023/0028 (LPA Ref:UTT/23/2810/PINS )</t>
  </si>
  <si>
    <t xml:space="preserve">Land off Chelmsford Road, Hartford End, Chelmsford, Essex </t>
  </si>
  <si>
    <t>Conflict with Uttlesford Local Plan Policy S7 and Felsted Neighbourhood Plan Policies HN5 and ICH4, due to the location of the site outside of defined settlement boundaries and in the countryside</t>
  </si>
  <si>
    <t>Stockplace Investments Ltd</t>
  </si>
  <si>
    <t>max@spd-studio.co.uk</t>
  </si>
  <si>
    <t>Outline planning application with all matters reserved except for access.</t>
  </si>
  <si>
    <t xml:space="preserve">Construction of up to 50 dwellings (Use Class C3) and associated access and bus stops with all matters reserved apart from access. </t>
  </si>
  <si>
    <t>Neg screening issued 12/12/23</t>
  </si>
  <si>
    <t>Dunmow Broadcast only 21/12/2023. TMP ref 480972</t>
  </si>
  <si>
    <t>WR</t>
  </si>
  <si>
    <t>6 week challenge period 16 April  2024</t>
  </si>
  <si>
    <t xml:space="preserve">S62A/2023/0027 (LPA Ref: UTT/23/2682/PINS ) </t>
  </si>
  <si>
    <t>Land known as Jacks, Smiths Green Lane, Takeley.</t>
  </si>
  <si>
    <t xml:space="preserve">Impact on countryside, impact on countryside protection zone, Impact on designated and non-designate heritage assets, Housing (including affordable housing), Transport Matters, Design, Ecology, Environmental, </t>
  </si>
  <si>
    <t>Weston Homes Plc</t>
  </si>
  <si>
    <t>jarrod.spencer@weston-homes.com; david.poole@weston-homes.com</t>
  </si>
  <si>
    <t>Erection of 40no. dwellings, including open space, landscaping and associated infrastructure.</t>
  </si>
  <si>
    <t>Negative. Letter issued 21/11/23</t>
  </si>
  <si>
    <t>08/12/2023 (LPA extended to 15/12/2023)</t>
  </si>
  <si>
    <t>Dunmow Broadcast only 16/11/2023. TMP ref 477932</t>
  </si>
  <si>
    <t>01/02//2024</t>
  </si>
  <si>
    <t>6 week challenge period 24 April  2024</t>
  </si>
  <si>
    <t>S62A/2023/0021 (LPA ref UTT/23/1848/PINS)</t>
  </si>
  <si>
    <t>Moors Fields, Station Road, Little Dunmow, Essex</t>
  </si>
  <si>
    <t>Those related to the reserved matters</t>
  </si>
  <si>
    <t>Dandara Eastern Limited</t>
  </si>
  <si>
    <t>David.Jones@arplanning.co.uk; Geoff.Armstrong@arplanning.co.uk</t>
  </si>
  <si>
    <t>Reserved Matters Application for 160 dwellings pursuant to outline planning permission UTT/21/3596/OP</t>
  </si>
  <si>
    <t>Application for the approval of reserved matters for appearance, landscaping, layout and scale for 160 dwellings pursuant to conditions 1 and 2 of outline planning permission UTT/21/3596/OP</t>
  </si>
  <si>
    <t>Wayne Johnson</t>
  </si>
  <si>
    <t>no</t>
  </si>
  <si>
    <t>Neg screening issued 16/8/23</t>
  </si>
  <si>
    <t>24/08/23 Dunmow Broadcast only</t>
  </si>
  <si>
    <t>13/10/2023 on app submission dated 21/09. Responses due 03/11/23. 27/11/2023 on app submission dated 21/09. Responses due 19/12/23.</t>
  </si>
  <si>
    <t>07/11/2023. Feb H date notification 01/02/2024</t>
  </si>
  <si>
    <r>
      <rPr>
        <strike/>
        <sz val="11"/>
        <color theme="1"/>
        <rFont val="Arial"/>
        <family val="2"/>
      </rPr>
      <t>16/11/2023</t>
    </r>
    <r>
      <rPr>
        <sz val="11"/>
        <color theme="1"/>
        <rFont val="Arial"/>
        <family val="2"/>
      </rPr>
      <t xml:space="preserve"> 13/02/2024</t>
    </r>
  </si>
  <si>
    <t>6 week challenge period 8 May 2024</t>
  </si>
  <si>
    <t>S62A/2023/0031 (LPA Ref. UTT/23/3112/PINS)</t>
  </si>
  <si>
    <t>Land North of Thaxted Road, Saffron Walden</t>
  </si>
  <si>
    <t>Principle (beyond the Settlement boundary) Highways, Noise, Ecology</t>
  </si>
  <si>
    <t>S.brown@woolfbond.co.uk</t>
  </si>
  <si>
    <t>The erection of up to 55 dwellings, associated landscaping and open space, with access from Knight Park</t>
  </si>
  <si>
    <t>EIA Screening  not required</t>
  </si>
  <si>
    <t>2 Janaury 2024</t>
  </si>
  <si>
    <t>01/02/2024 (extended to 09/02/24 for UDC)</t>
  </si>
  <si>
    <t>Saffron Walden Reporter only. TMP ref 482633</t>
  </si>
  <si>
    <t>due 8 March 2024</t>
  </si>
  <si>
    <t>6 week challenge period 22 May 2024</t>
  </si>
  <si>
    <t>S62A/2024/0032 (LPA Ref: UTT/24/0103/PINS )</t>
  </si>
  <si>
    <t>Land To The West Of Mill Lane Hatfield Heath, CM22 7AA</t>
  </si>
  <si>
    <t>Openess on the green belt</t>
  </si>
  <si>
    <t>12 Janaury 2024</t>
  </si>
  <si>
    <t xml:space="preserve">The demolition of 10 no. existing structures, the conversion and restoration of 8 no. existing buildings to form 8 no. holiday cottages and 1 no. dwelling, the construction of 3 no. single storey dwellings. The creation of a pedestrian and cycle link path . Changed to The demolition of 12 no. existing outbuildings / structures, the conversion and restoration of 8 no. existing buildings to form 8 no. holiday cottages and 1 no. dwelling, the construction of 3 no. single storey dwellings. The creation of a pedestrian and cycle link path at Land To The West Of Mill Lane Hatfield Heath </t>
  </si>
  <si>
    <t>19/01/2024. 2nd letter sent 1 Feb 2024</t>
  </si>
  <si>
    <t>09/02/2024. 22/02/2024</t>
  </si>
  <si>
    <t>sent to EST on 17/01/24</t>
  </si>
  <si>
    <t>Neg screening issued 21 Feb 2024</t>
  </si>
  <si>
    <t>19/03/2024  (extended to 05/04/24 for UDC)</t>
  </si>
  <si>
    <t>Both papers. TMP ref 486685</t>
  </si>
  <si>
    <t>16/04/2024. Deadline 30/04/2024</t>
  </si>
  <si>
    <t>6 week challenge period 5 July 2024</t>
  </si>
  <si>
    <t>S62A/2023/0030 (LPA Ref. UTT/23/3113/PINS)</t>
  </si>
  <si>
    <t>Land to the west of Clatterbury Lane, Clavering, Essex</t>
  </si>
  <si>
    <t>BAYA Group</t>
  </si>
  <si>
    <t>lewis.tomlinson@bridgeplanning.co.uk</t>
  </si>
  <si>
    <t>Outline application with all matters reserved except access for up to 28 dwellings (class C3) including public open space, sustainable drainage systems, landscaping and associated infrastructure.</t>
  </si>
  <si>
    <t>Deborah Board</t>
  </si>
  <si>
    <t xml:space="preserve">£8,112.00.  </t>
  </si>
  <si>
    <t xml:space="preserve">Saffron Walden Reporter only  </t>
  </si>
  <si>
    <t>14/02/2024 (27/02/2024 as UDC's was missing??)</t>
  </si>
  <si>
    <r>
      <t xml:space="preserve">19/02/2024 </t>
    </r>
    <r>
      <rPr>
        <sz val="11"/>
        <color theme="1"/>
        <rFont val="Arial"/>
        <family val="2"/>
      </rPr>
      <t>11 April 2024</t>
    </r>
  </si>
  <si>
    <t>6 week challenge 19 July 2024</t>
  </si>
  <si>
    <t>S62A/22/0006RD  (HZ Ref:  S62A/2022/0006)   (LPA Ref: UTT/22/2046/PINS)</t>
  </si>
  <si>
    <t>Paul Griffiths</t>
  </si>
  <si>
    <t>Letter to app inviting further comments 25/10/2023</t>
  </si>
  <si>
    <t>Date comments received from applicant 15/11/2023</t>
  </si>
  <si>
    <t>Saffron Walden Reporter. TMP ref 479938</t>
  </si>
  <si>
    <t>6 week challenge period 29 August 2024</t>
  </si>
  <si>
    <t>S62A/2024/0045 (LPA Ref:UTT/24/1417/PINS)</t>
  </si>
  <si>
    <t>Principle of development (including GB impact), Landscape and visual impacts, Heritage assests (including designated and undesignated assets relating to built form and archaeology, Neighbouring amenity, Loss of agricultural land, Transport, access and public right of way, Ecology and biodiversity , Trees / arboriculture and Flooding and drainage</t>
  </si>
  <si>
    <t>Hollie.Renney@dlpconsultants.co.uk</t>
  </si>
  <si>
    <t>S62A/2024/0033</t>
  </si>
  <si>
    <t>Erection of a Solar Photovoltaic Farm with supporting infrastructure and battery storage, inverters and transformers, fencing, landscaping works and connecting cable.</t>
  </si>
  <si>
    <t>fee requested by BACS 19/06/24</t>
  </si>
  <si>
    <t>EST agree with LPA's negative screening.  No further action required (19/6/24)</t>
  </si>
  <si>
    <t>No action required</t>
  </si>
  <si>
    <t>25/07/2024 (extended to 26/07/24 for UDC) Extended to 29/07 due to updated plans</t>
  </si>
  <si>
    <t>Both papers</t>
  </si>
  <si>
    <t>Hearing.  Referal to PCU not necessary</t>
  </si>
  <si>
    <t>6 week challenge 25 October 2024</t>
  </si>
  <si>
    <t>S62A/2024/0051 (LPA Ref: UTT/24/1732/PINS)</t>
  </si>
  <si>
    <t>noise matters</t>
  </si>
  <si>
    <t>liz@barkerparry.co.uk</t>
  </si>
  <si>
    <r>
      <t xml:space="preserve">Reserved Matters. Outline Planning application </t>
    </r>
    <r>
      <rPr>
        <b/>
        <sz val="10"/>
        <color theme="1"/>
        <rFont val="Arial"/>
        <family val="2"/>
      </rPr>
      <t>S62A/2022/0014</t>
    </r>
  </si>
  <si>
    <t>Erection of 168 dwellings with associated landscaping and parking.</t>
  </si>
  <si>
    <t xml:space="preserve">Cullum Parker </t>
  </si>
  <si>
    <t>08/07 - screening requested</t>
  </si>
  <si>
    <t>Negative screening issued 31/7/24</t>
  </si>
  <si>
    <t>Saffron Walden Reporter only. TMP ref 500065</t>
  </si>
  <si>
    <t>Q published 30/7/24</t>
  </si>
  <si>
    <r>
      <rPr>
        <strike/>
        <sz val="11"/>
        <color theme="1"/>
        <rFont val="Arial"/>
        <family val="2"/>
      </rPr>
      <t>provisionally 17 Sept 2024</t>
    </r>
    <r>
      <rPr>
        <sz val="11"/>
        <color theme="1"/>
        <rFont val="Arial"/>
        <family val="2"/>
      </rPr>
      <t xml:space="preserve"> </t>
    </r>
    <r>
      <rPr>
        <b/>
        <sz val="11"/>
        <color theme="1"/>
        <rFont val="Arial"/>
        <family val="2"/>
      </rPr>
      <t>Wreps</t>
    </r>
  </si>
  <si>
    <t>Repeat application (save for conditions) of UTT/23/2962/DFO.  BNG - reserved matters so not required BNG PPG 003.https://www.gov.uk/guidance/biodiversity-net-gain#about-biodiversity-gain. 6 week challenge 29 October 2024</t>
  </si>
  <si>
    <t>S62A/2024/0057 (LPA Ref: UTT/24/1898/PINS)</t>
  </si>
  <si>
    <t>Former Friends School Fields, Mount Pleasant Road, Saffron Walden, CB11 3EB</t>
  </si>
  <si>
    <t>Principle of Development. Provision of Sports Pitches</t>
  </si>
  <si>
    <t>Chase New Homes Ltd</t>
  </si>
  <si>
    <t>full planning application</t>
  </si>
  <si>
    <t>Erection of 91no dwellings with associated infrastructure and landscaping. Provision of playing field and associated clubhouse</t>
  </si>
  <si>
    <t>Zoe Raygen - let Insp see LP email from UDC 09/08</t>
  </si>
  <si>
    <t>25/7/24 screening requested</t>
  </si>
  <si>
    <t>Negative screening issued 15/8/24</t>
  </si>
  <si>
    <t>12/09/2024  (extended to 20/09/24 for UDC)</t>
  </si>
  <si>
    <t>Safron Walden Reporter only. TMP ref 501089</t>
  </si>
  <si>
    <t>26/09/2024. Responses due 10 October 2024</t>
  </si>
  <si>
    <t>due 4 October 2024</t>
  </si>
  <si>
    <t xml:space="preserve">WR. </t>
  </si>
  <si>
    <r>
      <t xml:space="preserve">Provisionally 31 Oct 2024 </t>
    </r>
    <r>
      <rPr>
        <b/>
        <sz val="11"/>
        <color theme="1"/>
        <rFont val="Arial"/>
        <family val="2"/>
      </rPr>
      <t>Wreps</t>
    </r>
  </si>
  <si>
    <t>NPPF comments provided with application. BNG - yes - condition needed if approved. 6 week challenge 13 December 2024</t>
  </si>
  <si>
    <t>S62A/2024/0049 (LPA Ref: UTT/24/1618/PINS)</t>
  </si>
  <si>
    <t>Land south of Bedwell Road, Elsenham</t>
  </si>
  <si>
    <t xml:space="preserve">The layout, scale, and appearance of 50 market and affordable </t>
  </si>
  <si>
    <t>Rochester Properties Limited, John F C Sergeant and Joan F M Anderson</t>
  </si>
  <si>
    <t>Ed.Durrant@pegasusgroup.co.uk</t>
  </si>
  <si>
    <t xml:space="preserve">Reserved Matters Application pursuant to outline planning permission APP/C1570/W/22/3311069 </t>
  </si>
  <si>
    <t>Approval of matters reserved (layout, scale, and appearance) pursuant to Appeal Decision ref: APP/C1570/W/22/3311069 (up to 50 market and affordable dwellings, public open space and associated highways and drainage infrastructure – all matters reserved except for access)</t>
  </si>
  <si>
    <t>fee requested by BACS 01/07/2024</t>
  </si>
  <si>
    <t>25/06/24 - screening requested</t>
  </si>
  <si>
    <t>Negative screening issued 16/7/24</t>
  </si>
  <si>
    <t>Both papers. 18/07/2024. TMP ref 498247</t>
  </si>
  <si>
    <t>USV 8 October 2024</t>
  </si>
  <si>
    <t>22/08/2024. Responses due 6 September 2024</t>
  </si>
  <si>
    <t>WR.  Referal to PCU not necessary</t>
  </si>
  <si>
    <r>
      <rPr>
        <strike/>
        <sz val="11"/>
        <color theme="1"/>
        <rFont val="Arial"/>
        <family val="2"/>
      </rPr>
      <t>provisonally 5 Sept 2024</t>
    </r>
    <r>
      <rPr>
        <sz val="11"/>
        <color theme="1"/>
        <rFont val="Arial"/>
        <family val="2"/>
      </rPr>
      <t xml:space="preserve"> </t>
    </r>
    <r>
      <rPr>
        <b/>
        <sz val="11"/>
        <color theme="1"/>
        <rFont val="Arial"/>
        <family val="2"/>
      </rPr>
      <t>Wreps</t>
    </r>
  </si>
  <si>
    <t>Rebecca</t>
  </si>
  <si>
    <t>BNG - reserved matters so not required BNG PPG 003.https://www.gov.uk/guidance/biodiversity-net-gain#about-biodiversity-gain. 6 week challenge 8 January 2025</t>
  </si>
  <si>
    <t>S62A/2024/0058 (LPA Ref: UTT/24/1958/PINS )</t>
  </si>
  <si>
    <t xml:space="preserve">Land adjacent to Village Hall, East of Cambridge Road, Ugley, Bishops Stortford, Hertfordshire  </t>
  </si>
  <si>
    <t xml:space="preserve">Construction of 16 dwellings including 40% affordable housing and associated infrastructure at Land East of Ugley Village Hall </t>
  </si>
  <si>
    <t xml:space="preserve">Pelham Structures Ltd </t>
  </si>
  <si>
    <t>Samantha Greaves &lt;s.greaves@pelham-structures.co.uk&gt;</t>
  </si>
  <si>
    <t xml:space="preserve">Grahame Kean </t>
  </si>
  <si>
    <t>1/8/24 screening request sent to EST</t>
  </si>
  <si>
    <t>Negative screening issued 10/09</t>
  </si>
  <si>
    <t>03/10/2024  (extended to 18/10/24 for UDC)</t>
  </si>
  <si>
    <t>Safron Walden Reporter only. TNP ref 502665</t>
  </si>
  <si>
    <t>Q published 03/09. 24 October 2024</t>
  </si>
  <si>
    <t>ARSV 28 November 2024 at 12.30pm</t>
  </si>
  <si>
    <t>29 October 2024. Responses due 12 November 2024</t>
  </si>
  <si>
    <r>
      <rPr>
        <strike/>
        <sz val="11"/>
        <color theme="1"/>
        <rFont val="Arial"/>
        <family val="2"/>
      </rPr>
      <t>Provisionally 19 November 2024</t>
    </r>
    <r>
      <rPr>
        <sz val="11"/>
        <color theme="1"/>
        <rFont val="Arial"/>
        <family val="2"/>
      </rPr>
      <t xml:space="preserve"> </t>
    </r>
    <r>
      <rPr>
        <b/>
        <sz val="11"/>
        <color theme="1"/>
        <rFont val="Arial"/>
        <family val="2"/>
      </rPr>
      <t>Wreps</t>
    </r>
  </si>
  <si>
    <r>
      <t xml:space="preserve">BNG - yes. </t>
    </r>
    <r>
      <rPr>
        <sz val="11"/>
        <color rgb="FFFF0000"/>
        <rFont val="Arial"/>
        <family val="2"/>
      </rPr>
      <t>NPPF ref back sent 13/12/2024</t>
    </r>
    <r>
      <rPr>
        <sz val="11"/>
        <color theme="1"/>
        <rFont val="Arial"/>
        <family val="2"/>
      </rPr>
      <t>. 6 Week challenge 28 Feb 2025</t>
    </r>
  </si>
  <si>
    <t>S62A/2023/0019RD  (LPA ref UTT/23/1583/PINS)</t>
  </si>
  <si>
    <t>Stage 1 letter sent 30/08/2024. Further lettter sent 25/09/2024 re more time for response</t>
  </si>
  <si>
    <t>20/09/2024 App response due. Further time TBA</t>
  </si>
  <si>
    <t>11/12/2024 No Screening Direction issued</t>
  </si>
  <si>
    <t xml:space="preserve"> Dunmow Broadcast</t>
  </si>
  <si>
    <t>Hearing</t>
  </si>
  <si>
    <t>14/02/2025 (13 weeks from app submisison)</t>
  </si>
  <si>
    <t>Rebecca &amp; David</t>
  </si>
  <si>
    <t>App - NPPF comments invited 19/12</t>
  </si>
  <si>
    <r>
      <t xml:space="preserve">S62A/2025/0099 (LPA Ref: ) </t>
    </r>
    <r>
      <rPr>
        <sz val="11"/>
        <color rgb="FFFF0000"/>
        <rFont val="Arial"/>
        <family val="2"/>
      </rPr>
      <t>WITHDRAWN 14/05/2025</t>
    </r>
  </si>
  <si>
    <t xml:space="preserve">Cutlers Solar Farm </t>
  </si>
  <si>
    <t xml:space="preserve">Culters Solar Farm Limited </t>
  </si>
  <si>
    <t>rob.booth@dwd-ltd.co.uk</t>
  </si>
  <si>
    <t>w/c 10/03/2025</t>
  </si>
  <si>
    <t xml:space="preserve">installation and operation of a high voltage underground cable connection on land between Cutlers Solar Farm (consented under Appeal Ref. APP/C1570/W/23/3319421) and an existing substation, near to Thaxted </t>
  </si>
  <si>
    <t>requested 11/04/2025</t>
  </si>
  <si>
    <t>withdrawn 14/05/2025</t>
  </si>
  <si>
    <t>requested 03/04/2025</t>
  </si>
  <si>
    <t>BNG condition applies.  Sent to Inspector for validation 9/4 ST</t>
  </si>
  <si>
    <t xml:space="preserve">S62A/2024/0075 (LPA Ref: UTT/25/0101/PINS) </t>
  </si>
  <si>
    <t>land north east of Thaxted Road, Saffron Walden, Essex</t>
  </si>
  <si>
    <t>none</t>
  </si>
  <si>
    <t>Saffron Walden LLP</t>
  </si>
  <si>
    <t>sstephenson@phase2planning.co.uk</t>
  </si>
  <si>
    <t>Reserved Matters (S62A/2024/0031)</t>
  </si>
  <si>
    <t>Reserved matters (appearance, landscaping, layout and scale); discharge of conditions 5 and 17; pursuant to outline planning permission ref: S62A/2023/0031 for the erection of up to 55 dwellings, associated landscaping and open space, with access from Knight Park</t>
  </si>
  <si>
    <t>Zoe Raygen validating / Helen Hockenhull</t>
  </si>
  <si>
    <t>15/01/2025 (inc with letter 7)</t>
  </si>
  <si>
    <r>
      <t>27/02/2025 (extended to</t>
    </r>
    <r>
      <rPr>
        <b/>
        <sz val="11"/>
        <color theme="1"/>
        <rFont val="Arial"/>
        <family val="2"/>
      </rPr>
      <t xml:space="preserve"> 14/03/25</t>
    </r>
    <r>
      <rPr>
        <sz val="11"/>
        <color theme="1"/>
        <rFont val="Arial"/>
        <family val="2"/>
      </rPr>
      <t xml:space="preserve"> for UDC)</t>
    </r>
  </si>
  <si>
    <t>Saffron Walden Reporter 06/02/2025. TMP ref 512370</t>
  </si>
  <si>
    <t>USV w/c 24/03/2025</t>
  </si>
  <si>
    <t>02/04/2025. Responses due 16/04/2025</t>
  </si>
  <si>
    <t>Wreps</t>
  </si>
  <si>
    <t>S62A/2025/0077 (LPA Ref:UTT/25/0151/PINS )</t>
  </si>
  <si>
    <t>Land West of High Street, Stebbing</t>
  </si>
  <si>
    <t>i) impact upon setting of designated heritage assets;
ii) location outside of identified settlement development limits of village; and impact upon rural character/appearance &amp; landscape/visual effects
iii) impact upon Local Green Space as designated in Stepping Neighbourhood Plan</t>
  </si>
  <si>
    <t>Mark Wellings (Montare LLP)</t>
  </si>
  <si>
    <t>Nigel@magentaplanning.com</t>
  </si>
  <si>
    <t xml:space="preserve">Full </t>
  </si>
  <si>
    <t>w/c 13/01/2025</t>
  </si>
  <si>
    <t>Erection of 28 residential dwellings (comprising 14 affordable and 11 private market homes together with 3 self-build plots); provision of public open space and associated local amenity facilities (activating Local Green Space allocation); together with integrated landscaping and car parking (to include additional community parking facility).</t>
  </si>
  <si>
    <r>
      <t xml:space="preserve">Cullum Parker validating. </t>
    </r>
    <r>
      <rPr>
        <b/>
        <sz val="11"/>
        <color rgb="FFFF0000"/>
        <rFont val="Arial"/>
        <family val="2"/>
      </rPr>
      <t>HG Insp needed</t>
    </r>
    <r>
      <rPr>
        <sz val="11"/>
        <color theme="1"/>
        <rFont val="Arial"/>
        <family val="2"/>
      </rPr>
      <t xml:space="preserve"> Zoe Raygen</t>
    </r>
  </si>
  <si>
    <t>Negative screening 24 Feb 2025</t>
  </si>
  <si>
    <r>
      <t xml:space="preserve">20/03/2025 (extended to </t>
    </r>
    <r>
      <rPr>
        <b/>
        <sz val="11"/>
        <color theme="1"/>
        <rFont val="Arial"/>
        <family val="2"/>
      </rPr>
      <t>11/04/25</t>
    </r>
    <r>
      <rPr>
        <sz val="11"/>
        <color theme="1"/>
        <rFont val="Arial"/>
        <family val="2"/>
      </rPr>
      <t xml:space="preserve"> for UDC)</t>
    </r>
  </si>
  <si>
    <t>Dunmow Broadcast  27/02/2025. TMP ref 513932</t>
  </si>
  <si>
    <t>ARSV 6 May 2025 3.00 - 4.00pm</t>
  </si>
  <si>
    <t>BNG condition applies</t>
  </si>
  <si>
    <t xml:space="preserve">S62A/2025/0107 (LPA Ref: UTT/25/1343/PINS) </t>
  </si>
  <si>
    <t>Former Friends School Field, Mount Pleasant Road, Saffron Walden</t>
  </si>
  <si>
    <t>Chase New Homes</t>
  </si>
  <si>
    <t>Full Planning application</t>
  </si>
  <si>
    <t>Erection of 75no. dwellings with associated infrastructure and landscaping. Provision of playing fields and associated clubhouse</t>
  </si>
  <si>
    <t>Zoe Raygen validating / Grahame Kean</t>
  </si>
  <si>
    <t>requested 13/05/2025</t>
  </si>
  <si>
    <t>Saffron Walden Reporter 12/06/2025 TMP ref 521095</t>
  </si>
  <si>
    <t>USV 13/06/2025</t>
  </si>
  <si>
    <t xml:space="preserve">S62A/****/**** (ref TBC on receipt of application) (LPA Ref: ) </t>
  </si>
  <si>
    <t xml:space="preserve">Land To The North Of De Vigier Avenue Saffron Walden Essex (Located within the boundary of Uttlesford District Council). </t>
  </si>
  <si>
    <t xml:space="preserve">Two previous applications have been refused on ecological grounds relating to the translocation of calcareous grassland and common lizards and biodiversity net gain. This revised application seeks to resolve the previous reasons for refusal. </t>
  </si>
  <si>
    <t>Turnstone St Neots Ltd</t>
  </si>
  <si>
    <t>Adam.Conchie@carterjonas.co.uk</t>
  </si>
  <si>
    <t>Outline planning permission with all matters reserved except for access for the erection of up to 12 dwellings with associated landscaping, parking and support infrastructure</t>
  </si>
  <si>
    <t>Site 0.85</t>
  </si>
  <si>
    <t>S62A/****/**** (ref TBC on receipt of application) (LPA Ref: )</t>
  </si>
  <si>
    <t>Land to the rear of the Weston Group Headquarters, known as 7 Acres, Parsonage Road, Takeley, Essex, CM22 6NZ</t>
  </si>
  <si>
    <t>Outside of development limits, landscape character (the site is enclosed)</t>
  </si>
  <si>
    <t>Jarrod Spencer (on behalf of Weston Homes Plc)</t>
  </si>
  <si>
    <t>jarrod.spencer@weston-homes.com</t>
  </si>
  <si>
    <t>Mid Sept 2022</t>
  </si>
  <si>
    <t>Redevelopment of the Land to the rear of the Weston Group Business Hub (known as 7 Acres) for the provision of Industrial/flexible employment units (c.3568sqm) including health care medical facility/flexible employment building (Use Class E) and associated landscaping and parking.</t>
  </si>
  <si>
    <t>S62A/****/**** (ref TBC on receipt of application) (LPA Ref: ) Previous case 0099 withdrawn</t>
  </si>
  <si>
    <t>June / July 2025</t>
  </si>
  <si>
    <t xml:space="preserve">Land east of St Edmunds Lane, Great Dunmow’ </t>
  </si>
  <si>
    <t>Mulberry Homes</t>
  </si>
  <si>
    <t>phoebe.conway@mulberryhomes.co.uk</t>
  </si>
  <si>
    <t>0086(pre-app)</t>
  </si>
  <si>
    <t>Full planning application for 91 no. residential units (Class C3), new access from St Edmunds Lane, and associated works including parking and landscaping</t>
  </si>
  <si>
    <t>Likely Issues</t>
  </si>
  <si>
    <t>Inspector / Planning Offcier</t>
  </si>
  <si>
    <t>Date Insp assigned</t>
  </si>
  <si>
    <t>SAP5 to FSSD / Fee requested by BACS</t>
  </si>
  <si>
    <t>Valid / Validation Date</t>
  </si>
  <si>
    <t>CIL amount</t>
  </si>
  <si>
    <t>Procedure WR/H?  Refer to PCU? Add to GOV.uk page</t>
  </si>
  <si>
    <t>Target decision date (8 weeks from valid)</t>
  </si>
  <si>
    <t>Fee return date (16 weeks from valid)</t>
  </si>
  <si>
    <r>
      <rPr>
        <b/>
        <sz val="10"/>
        <color theme="1"/>
        <rFont val="Arial"/>
        <family val="2"/>
      </rPr>
      <t>S62A/2024/0040</t>
    </r>
    <r>
      <rPr>
        <sz val="10"/>
        <color theme="1"/>
        <rFont val="Arial"/>
        <family val="2"/>
      </rPr>
      <t xml:space="preserve"> (LPA Ref: 24/01308/PINS) </t>
    </r>
    <r>
      <rPr>
        <sz val="10"/>
        <color rgb="FFFF0000"/>
        <rFont val="Arial"/>
        <family val="2"/>
      </rPr>
      <t>Emailed App asking how they intend to proceed re CIL - 25/3/24</t>
    </r>
  </si>
  <si>
    <t>Promenade House,
Clifton Down,
Clifton,
Bristol,
BS8 3NE</t>
  </si>
  <si>
    <t xml:space="preserve">Stride Treglown </t>
  </si>
  <si>
    <t>Francis Carpenter FrancisCarpenter@stridetreglown.com</t>
  </si>
  <si>
    <t>Installation of stretch tent (with associated minor hard and soft landscaping works) in the external garden area at Promenade House. The stretch tent will provide external space for outdoor events, workshops and meetings - associated with Stride Treglown’s work as a multidisciplinary design and planning consultancy</t>
  </si>
  <si>
    <t>B Thandi</t>
  </si>
  <si>
    <t>22/04/2024 CIL liable but NIL return</t>
  </si>
  <si>
    <t>11/04/2024 plus 23/04/2024</t>
  </si>
  <si>
    <r>
      <rPr>
        <strike/>
        <sz val="10"/>
        <color theme="1"/>
        <rFont val="Arial"/>
        <family val="2"/>
      </rPr>
      <t xml:space="preserve">13/05/2024 </t>
    </r>
    <r>
      <rPr>
        <sz val="10"/>
        <color theme="1"/>
        <rFont val="Arial"/>
        <family val="2"/>
      </rPr>
      <t>now 14/05/2024</t>
    </r>
  </si>
  <si>
    <t>ARSV 16/04/2024</t>
  </si>
  <si>
    <t>Mike Robins/David Morgan</t>
  </si>
  <si>
    <t>CIL - make sure DL gets the correct wording. LPA say CIL liable but Nil return.  David Morgan to review re HG aspects. 6 Week challenge date 10 July 2024</t>
  </si>
  <si>
    <r>
      <rPr>
        <b/>
        <sz val="10"/>
        <color theme="1"/>
        <rFont val="Arial"/>
        <family val="2"/>
      </rPr>
      <t xml:space="preserve">S62A/2024/0039 </t>
    </r>
    <r>
      <rPr>
        <sz val="10"/>
        <color theme="1"/>
        <rFont val="Arial"/>
        <family val="2"/>
      </rPr>
      <t>(LPA Ref: 24/01285/PINS )</t>
    </r>
    <r>
      <rPr>
        <sz val="10"/>
        <color rgb="FFFF0000"/>
        <rFont val="Arial"/>
        <family val="2"/>
      </rPr>
      <t xml:space="preserve"> Emailed App asking how they intend to proceed re CIL - 25/3/24</t>
    </r>
  </si>
  <si>
    <t>396 Hotwell Road, Bristol, BS8 4NU</t>
  </si>
  <si>
    <t>Mr Howard Thom and Mrs Olga Grinchenko</t>
  </si>
  <si>
    <t>DE Planning Ltd</t>
  </si>
  <si>
    <t>Change of Use to Small HMO</t>
  </si>
  <si>
    <t>10/04/2024Not CIL liable</t>
  </si>
  <si>
    <t>Q published 16/04/24</t>
  </si>
  <si>
    <t>USV 16/04/2024</t>
  </si>
  <si>
    <t>6 week challenge 17 July 2024</t>
  </si>
  <si>
    <r>
      <rPr>
        <b/>
        <sz val="10"/>
        <color theme="1"/>
        <rFont val="Arial"/>
        <family val="2"/>
      </rPr>
      <t xml:space="preserve">S62A/2024/0041 </t>
    </r>
    <r>
      <rPr>
        <sz val="10"/>
        <color theme="1"/>
        <rFont val="Arial"/>
        <family val="2"/>
      </rPr>
      <t>(LPA Ref: 24/01621/PINS)</t>
    </r>
  </si>
  <si>
    <t>20 Conway Road, Bristol, BS4 3RF</t>
  </si>
  <si>
    <t>Innova Property</t>
  </si>
  <si>
    <t>John Rooney &lt;john.rooney@stokesmorgan.co.uk&gt;</t>
  </si>
  <si>
    <t>Change of use from a dwellinghouse used by a single person or household (C3a) to a large dwellinghouse in multiple occupation (sui generis) for seven people, including the erection of a rear roof extension, 2no. rooflights, and a single storey rear extension</t>
  </si>
  <si>
    <t>Jonathan Edwards</t>
  </si>
  <si>
    <t xml:space="preserve">NA </t>
  </si>
  <si>
    <t>Fee requested 01/05/2024</t>
  </si>
  <si>
    <r>
      <t xml:space="preserve">Chased 20/5/24. </t>
    </r>
    <r>
      <rPr>
        <sz val="10"/>
        <rFont val="Arial"/>
        <family val="2"/>
      </rPr>
      <t>24/05/2024</t>
    </r>
  </si>
  <si>
    <t>30/04. CIL response (30/4/24)  = not liable.</t>
  </si>
  <si>
    <t>ARSV 05/06/2024</t>
  </si>
  <si>
    <t>BNG? 6 week challenge 2 August 2024</t>
  </si>
  <si>
    <r>
      <rPr>
        <b/>
        <sz val="10"/>
        <color theme="1"/>
        <rFont val="Arial"/>
        <family val="2"/>
      </rPr>
      <t xml:space="preserve">S62A/2024/0043 </t>
    </r>
    <r>
      <rPr>
        <sz val="10"/>
        <color theme="1"/>
        <rFont val="Arial"/>
        <family val="2"/>
      </rPr>
      <t>(LPA Ref: 24/01829/PINS)</t>
    </r>
  </si>
  <si>
    <t>85 Ruby Street, Bristol BS3 3DW</t>
  </si>
  <si>
    <t>Mr James Bessell</t>
  </si>
  <si>
    <t>Change of use from a residential dwelling (C3a) to a small house in multiple occupation (C4) for 3-6 people, including the erection of a rear roof extension and single storey rear extension</t>
  </si>
  <si>
    <t>Fee requested 15/05/2024</t>
  </si>
  <si>
    <r>
      <t xml:space="preserve">16/05/2024 (supporting docs chased 20/5/24) </t>
    </r>
    <r>
      <rPr>
        <sz val="10"/>
        <rFont val="Arial"/>
        <family val="2"/>
      </rPr>
      <t>24/05/2024</t>
    </r>
  </si>
  <si>
    <t>09/05. Not CIL Liable (LPA response 9/5/24)</t>
  </si>
  <si>
    <t>re-issued 12/06/2024</t>
  </si>
  <si>
    <r>
      <rPr>
        <strike/>
        <sz val="10"/>
        <color theme="1"/>
        <rFont val="Arial"/>
        <family val="2"/>
      </rPr>
      <t>14/06/2024</t>
    </r>
    <r>
      <rPr>
        <sz val="10"/>
        <color theme="1"/>
        <rFont val="Arial"/>
        <family val="2"/>
      </rPr>
      <t xml:space="preserve"> - </t>
    </r>
    <r>
      <rPr>
        <b/>
        <sz val="10"/>
        <color theme="1"/>
        <rFont val="Arial"/>
        <family val="2"/>
      </rPr>
      <t>now 05/07/2024</t>
    </r>
  </si>
  <si>
    <t>Q Published 30/05/2024</t>
  </si>
  <si>
    <t>ARSV 04/06/2024</t>
  </si>
  <si>
    <t>NA.  Declined jurisdiction</t>
  </si>
  <si>
    <t>Declined jurisdiction as retrospective application.  Fee to be returned.</t>
  </si>
  <si>
    <r>
      <rPr>
        <b/>
        <sz val="10"/>
        <color theme="1"/>
        <rFont val="Arial"/>
        <family val="2"/>
      </rPr>
      <t xml:space="preserve">S62A/2024/0034 </t>
    </r>
    <r>
      <rPr>
        <sz val="10"/>
        <color theme="1"/>
        <rFont val="Arial"/>
        <family val="2"/>
      </rPr>
      <t xml:space="preserve">(LPA Ref: 24/01278/PINS) and </t>
    </r>
    <r>
      <rPr>
        <b/>
        <sz val="10"/>
        <color theme="1"/>
        <rFont val="Arial"/>
        <family val="2"/>
      </rPr>
      <t>S62A/2024/0042/LBC</t>
    </r>
    <r>
      <rPr>
        <sz val="10"/>
        <color theme="1"/>
        <rFont val="Arial"/>
        <family val="2"/>
      </rPr>
      <t xml:space="preserve"> (LPA ref 24/01845/PINS) </t>
    </r>
    <r>
      <rPr>
        <b/>
        <sz val="10"/>
        <color rgb="FFFF0000"/>
        <rFont val="Arial"/>
        <family val="2"/>
      </rPr>
      <t>WITHDRAWN</t>
    </r>
    <r>
      <rPr>
        <sz val="10"/>
        <color theme="1"/>
        <rFont val="Arial"/>
        <family val="2"/>
      </rPr>
      <t xml:space="preserve"> </t>
    </r>
    <r>
      <rPr>
        <b/>
        <sz val="10"/>
        <color rgb="FFFF0000"/>
        <rFont val="Arial"/>
        <family val="2"/>
      </rPr>
      <t>08/07/2024</t>
    </r>
  </si>
  <si>
    <t>57 Prince Street Bristol BS1 4QH</t>
  </si>
  <si>
    <t>HG</t>
  </si>
  <si>
    <t>Vijay Patel</t>
  </si>
  <si>
    <t>Jessica Bettesworth jessica.bettesworth@3bd.co.uk;</t>
  </si>
  <si>
    <t xml:space="preserve">Full planning &amp; listed building application </t>
  </si>
  <si>
    <t>Upgrade the 3rd and 4th floors to comply with building regulations. The alterations to the listed building include upgrading of internal walls, floor, windows and doors. Changes have been proposed to the floor plans to reduce travel distances and a lift has been proposed.</t>
  </si>
  <si>
    <t>H Hockenhall</t>
  </si>
  <si>
    <t>27/03/2024 - combined with letter 8</t>
  </si>
  <si>
    <t>27/03/2024. Connected Q sent 25/04/2024</t>
  </si>
  <si>
    <t>5/4/24 (0034) &amp; 15/5/24 (0042)</t>
  </si>
  <si>
    <t>05/04/2024. Not CIL Liable</t>
  </si>
  <si>
    <t>£550.98. TMP ref 494853</t>
  </si>
  <si>
    <t>Q published 28/05/2024</t>
  </si>
  <si>
    <t>ARSV. 27/06/2024</t>
  </si>
  <si>
    <t>App &amp; Council on late rep. Due 08/07/2024</t>
  </si>
  <si>
    <t>NA application withdrawn</t>
  </si>
  <si>
    <t>Withdrawn 08/07/2024</t>
  </si>
  <si>
    <r>
      <rPr>
        <b/>
        <sz val="10"/>
        <color theme="1"/>
        <rFont val="Arial"/>
        <family val="2"/>
      </rPr>
      <t>S62A/2024/0046</t>
    </r>
    <r>
      <rPr>
        <sz val="10"/>
        <color theme="1"/>
        <rFont val="Arial"/>
        <family val="2"/>
      </rPr>
      <t xml:space="preserve"> (LPA Ref: 5/2024/0950)</t>
    </r>
  </si>
  <si>
    <t>9a / 9b Rosebery Avenue, Harpenden AL5 2QT</t>
  </si>
  <si>
    <t>Clare Bowman</t>
  </si>
  <si>
    <t xml:space="preserve">howard@howardpeasearchitects.co.uk </t>
  </si>
  <si>
    <t>New build application for a single dwelling replacing existing semi detached pair of flats. Actual development Demolition of existing dwellings and construction of a replacement five bedroom house including attic accommodation &amp; soft landsacping</t>
  </si>
  <si>
    <t>Claire Shearing</t>
  </si>
  <si>
    <t>Fee requested 06/06/2024</t>
  </si>
  <si>
    <t>06/06/2024 letter combined with 7</t>
  </si>
  <si>
    <t>27/06/2024. Chaser sent  19/07/2024</t>
  </si>
  <si>
    <t>18/07/2024. TMP ref 498437</t>
  </si>
  <si>
    <t>ARSV 22 July 2024 11.00am</t>
  </si>
  <si>
    <t>App says BNG exempt. No need to ref back on NPPF / WMS.  6 week challenge 26 Sept.</t>
  </si>
  <si>
    <r>
      <rPr>
        <b/>
        <sz val="10"/>
        <color theme="1"/>
        <rFont val="Arial"/>
        <family val="2"/>
      </rPr>
      <t xml:space="preserve">S62A/2024/0044 </t>
    </r>
    <r>
      <rPr>
        <sz val="10"/>
        <color theme="1"/>
        <rFont val="Arial"/>
        <family val="2"/>
      </rPr>
      <t>(LPA Ref: 24/02222/PINS)</t>
    </r>
  </si>
  <si>
    <t>87 Queenshill Road, Bristol, BS4 2XQ</t>
  </si>
  <si>
    <t>Mr Paul Rhodes</t>
  </si>
  <si>
    <t>Two-storey side extension to create 1no. Dwellinghouse  Updated description 14/06
Demolition of existing conservatory and erection of two-storey dwellinghouse with associated works</t>
  </si>
  <si>
    <t>fee requested 07/06/2024</t>
  </si>
  <si>
    <t>CIL Liable</t>
  </si>
  <si>
    <t>01/08/024</t>
  </si>
  <si>
    <t>ARSV 08 Aug 24</t>
  </si>
  <si>
    <r>
      <t xml:space="preserve">App says BNG exempt. </t>
    </r>
    <r>
      <rPr>
        <b/>
        <sz val="10"/>
        <color theme="1"/>
        <rFont val="Arial"/>
        <family val="2"/>
      </rPr>
      <t>NPPF</t>
    </r>
    <r>
      <rPr>
        <sz val="10"/>
        <color theme="1"/>
        <rFont val="Arial"/>
        <family val="2"/>
      </rPr>
      <t xml:space="preserve"> ref back 31/07. Responses due 07/08. 6 Week challenge 30 Sept 2024</t>
    </r>
  </si>
  <si>
    <r>
      <rPr>
        <b/>
        <sz val="10"/>
        <color theme="1"/>
        <rFont val="Arial"/>
        <family val="2"/>
      </rPr>
      <t>S62A/2024/0050</t>
    </r>
    <r>
      <rPr>
        <sz val="10"/>
        <color theme="1"/>
        <rFont val="Arial"/>
        <family val="2"/>
      </rPr>
      <t xml:space="preserve"> (LPA Ref: 24/02509/PINS)</t>
    </r>
  </si>
  <si>
    <t>59 Langton Road, Bristol BS4 4ER</t>
  </si>
  <si>
    <t>Dr Klare Davis</t>
  </si>
  <si>
    <t>john.rooney@stokesmorgan.co.uk</t>
  </si>
  <si>
    <t>Change of use from a small house in multiple occupation (C4) for 3-6 people, to a large house in multiple occupation for 8 people (Sui Generis).  Amended 1 July 2024 to Change of use from a small dwellinghouse in multiple occupation for 3-6 people (C4), to a large dwellinghouse in multiple occupation (sui generis) for eight people, including erection of refuse, recycling and cycle stores, and minor demolition and external alterations to detached garage to facilitate use as habitable accommodation.</t>
  </si>
  <si>
    <t>fee requested 26/06/2024</t>
  </si>
  <si>
    <t>Not CIL liable 27/06/24</t>
  </si>
  <si>
    <t>ARSV 2.30pm 19 July 2024</t>
  </si>
  <si>
    <t>App says BNG exempt.  De minimis. NPPF / WMS ref back 06/08/24. 6 week challenge 3 October 2024</t>
  </si>
  <si>
    <r>
      <rPr>
        <b/>
        <sz val="10"/>
        <color theme="1"/>
        <rFont val="Arial"/>
        <family val="2"/>
      </rPr>
      <t>S62A/2024/0047</t>
    </r>
    <r>
      <rPr>
        <sz val="10"/>
        <color theme="1"/>
        <rFont val="Arial"/>
        <family val="2"/>
      </rPr>
      <t xml:space="preserve"> (LPA Ref:  24/02416/PINS)</t>
    </r>
  </si>
  <si>
    <t>39-43 College Green, Bristol BS1 5SH</t>
  </si>
  <si>
    <t>Empiric Student Property plc</t>
  </si>
  <si>
    <t>elliott.paddon@rapleys.com</t>
  </si>
  <si>
    <t>Change of use of part of the ground floor commercial space to purpose-built student accommodation and external alterations.</t>
  </si>
  <si>
    <t>Rebecca Dickson (APO) / Helen Hockenhull</t>
  </si>
  <si>
    <t>Not CIL liable 21/06/24</t>
  </si>
  <si>
    <t>17/07/2024. TMP ref 498253</t>
  </si>
  <si>
    <t>ARSV 13 August 2024 13.00</t>
  </si>
  <si>
    <t>App says BNG exempt (no habitate on site) No NPPF ref back needed. 6 Week challenge 8 October 2024</t>
  </si>
  <si>
    <t>S62A/2024/0055 (LPA Ref: 24/02797/PINS)</t>
  </si>
  <si>
    <t>Vintry House (sixth floor), No.’s 20-32 Wine Street, Bristol, BS1 2BD</t>
  </si>
  <si>
    <t>Envelop Risk Analytics Ltd</t>
  </si>
  <si>
    <t>Lyn Jones &lt;lyn@planningventures.co.uk&gt;</t>
  </si>
  <si>
    <t>Use of balcony area for additional external office space, involving installation of decking, balustrade and side partition screen</t>
  </si>
  <si>
    <t>Andreea Spataru (APO)/ and ???</t>
  </si>
  <si>
    <t>Not CIL liable 17/7/24</t>
  </si>
  <si>
    <t>ARSV 04/09/24</t>
  </si>
  <si>
    <t>NPPF comments asked for. BNG exempt. 6 Week challenge 29 October 2024</t>
  </si>
  <si>
    <t>S62A/2024/0056 (LPA Ref: 24/02799/PINS)</t>
  </si>
  <si>
    <t>1 Repton Road, Brislington, Bristol, BS4 3LS</t>
  </si>
  <si>
    <t>Mr D Brown</t>
  </si>
  <si>
    <t>threemagnetsplanning@gmail.com</t>
  </si>
  <si>
    <t>External alterations to existing commercial building</t>
  </si>
  <si>
    <t>Andreea Spataru (APO)/ and Zoe Raygen</t>
  </si>
  <si>
    <t>Not CIL liable 18/7/24</t>
  </si>
  <si>
    <t>USV 04/09/2024</t>
  </si>
  <si>
    <t>NPPF comments asked for. BNG exempt. 6 Week challenge 30 October 2024</t>
  </si>
  <si>
    <r>
      <rPr>
        <b/>
        <sz val="10"/>
        <color theme="1"/>
        <rFont val="Arial"/>
        <family val="2"/>
      </rPr>
      <t>S62A/2024/0053</t>
    </r>
    <r>
      <rPr>
        <sz val="10"/>
        <color theme="1"/>
        <rFont val="Arial"/>
        <family val="2"/>
      </rPr>
      <t xml:space="preserve"> (LPA Ref: 24/02698/PINS ) </t>
    </r>
    <r>
      <rPr>
        <sz val="10"/>
        <color rgb="FFFF0000"/>
        <rFont val="Arial"/>
        <family val="2"/>
      </rPr>
      <t>Emailed App asking how they intend to proceed re CIL - 25/3/24</t>
    </r>
  </si>
  <si>
    <t>Building 11, Explore Lane, Bristol, BS1 5YT</t>
  </si>
  <si>
    <t>Canada Life Asset Management</t>
  </si>
  <si>
    <t>Mark Tombs mark.tombs@ntrplanning.co.uk;</t>
  </si>
  <si>
    <t>mid-April</t>
  </si>
  <si>
    <t>Detailed planning application for use of part of the roof area as an outdoor terrace, comprising the provision of a metal canopy frame with retractable sun shade, glass balustrade and acoustic screen and provision of biodiverse green roof to part of roof top plant room</t>
  </si>
  <si>
    <t>Hannah Ellison</t>
  </si>
  <si>
    <t>Not CIL liable 11/07/24</t>
  </si>
  <si>
    <t>14/08/2024 TMP Ref 500834</t>
  </si>
  <si>
    <t>Q published 08/08/2024. 06/09/2024</t>
  </si>
  <si>
    <t>ARSV 9.00am 10 Sept 2024</t>
  </si>
  <si>
    <t>No comments needed on NPPF / WMS. BNG condition applies if approved. 6 week 5 November 2024</t>
  </si>
  <si>
    <r>
      <rPr>
        <b/>
        <sz val="10"/>
        <color theme="1"/>
        <rFont val="Arial"/>
        <family val="2"/>
      </rPr>
      <t xml:space="preserve">S62A/2024/0048 </t>
    </r>
    <r>
      <rPr>
        <sz val="10"/>
        <color theme="1"/>
        <rFont val="Arial"/>
        <family val="2"/>
      </rPr>
      <t>(LPA Ref: 5/2024/1062)</t>
    </r>
  </si>
  <si>
    <t>1 Wheatfield Road, Harpenden AL52NY</t>
  </si>
  <si>
    <t>Colin Franzmann</t>
  </si>
  <si>
    <t>new build single house</t>
  </si>
  <si>
    <t>Jennifer Wallace (was Downs)</t>
  </si>
  <si>
    <t>fee requested 20/06/2024</t>
  </si>
  <si>
    <t>ARSV 5 September 10.00</t>
  </si>
  <si>
    <t>Due 25 Sept 2024. Not received</t>
  </si>
  <si>
    <t>Tobias Gethin read DL due to BNG plus comments from Rebecca</t>
  </si>
  <si>
    <t>App says BNG exempt (self build). Comments on NPPF / WMS not needed as neutral in terms of housing numbers.</t>
  </si>
  <si>
    <t>S62A/2024/0054 (LPA Ref:5/2024/1221 )</t>
  </si>
  <si>
    <t>Land adjacent to 38 Briar Road, St Albans AL49TL</t>
  </si>
  <si>
    <t>Mrs Yesmin Mehmet</t>
  </si>
  <si>
    <t>Part demolition of existing two storey extension to 38 Briar Road, St Albans and creation of new building plot adjacent. Creation of new 3 bedroom two storey dwelling &amp; new pedestrian crossover.</t>
  </si>
  <si>
    <t>17/07/2024 Reissued 09/08/2024</t>
  </si>
  <si>
    <t>Q published 05/09/2024. 09/10/2024</t>
  </si>
  <si>
    <t>Visited on 05/09/2024 &amp; 04/10/24</t>
  </si>
  <si>
    <t>Due 19/10/24</t>
  </si>
  <si>
    <t>App says BNG exempt (self build). No comments needed on NPPF / WMS. 6 week date 3 December 2024</t>
  </si>
  <si>
    <t>S62A/2024/0059 (LPA Ref: 24/03413/PINS)</t>
  </si>
  <si>
    <t>MFG Redland Filling Station, Hampton Road, Redland, BS6 6JA</t>
  </si>
  <si>
    <t xml:space="preserve">Motor Fuel Group Ltd (MFG) </t>
  </si>
  <si>
    <t>julian@jmsplanning.com</t>
  </si>
  <si>
    <t>Installation of vehicle charging points and associated electrical infrastructure and associated works (substation to be installed by DNO)</t>
  </si>
  <si>
    <t>Jonathan Edwards (Zoe Raygen validating)</t>
  </si>
  <si>
    <t>Not Cil liable 02/09/24</t>
  </si>
  <si>
    <t>18/09/2024. TMP Ref: 503253</t>
  </si>
  <si>
    <t>visited 10/10/2024 USV</t>
  </si>
  <si>
    <t xml:space="preserve">BNG info not provided (exemption of below threshold claimed).  </t>
  </si>
  <si>
    <t>17 Clarendon Road, Bristol, BS6 7EL</t>
  </si>
  <si>
    <t>principle of development, parking, neighbour amenity</t>
  </si>
  <si>
    <t>Mr Vishal Shaunak</t>
  </si>
  <si>
    <t>Change of use from a large(13-bed) HMO to 1no. 7-bed HMO, and 2no. Small HMOs including a single storey rear extension</t>
  </si>
  <si>
    <t>App said no longer being submitted under S62A.  21/10/24</t>
  </si>
  <si>
    <t>S62A/2024/0062 (LPA Ref: 24/03763/PINS)</t>
  </si>
  <si>
    <t>Unit H, Eastgate Retail Park, Eastgate Road, Bristol, BS5 6XX</t>
  </si>
  <si>
    <t>Design issues - acceptability of the proposed alterations in relation to the existing shopfront and the building's roof profile both as part of the existing building and within the overall context of the Eastgate Retail Park.  </t>
  </si>
  <si>
    <t xml:space="preserve">CPG Bristol Ltd </t>
  </si>
  <si>
    <t>julie@planningventures.co.uk</t>
  </si>
  <si>
    <t>w/c 23/09/2024</t>
  </si>
  <si>
    <t>External alterations comprising the removal of the tower corner feature and changes to part of the roof parapet, with replacement cladding and glazing alterations forming extended shopfront glazing and entrances</t>
  </si>
  <si>
    <t>Bhu Thandi</t>
  </si>
  <si>
    <t>Not liable 24/09/2024</t>
  </si>
  <si>
    <t>USV 10 October 2024 - carried out 09/10</t>
  </si>
  <si>
    <t>BNG exemption claimed.  De minimis. 6 week date 27 December 2024.</t>
  </si>
  <si>
    <t>S62A/2024/0061 (LPA Ref: 24/03623/PINS) (Resubmission of 0050)</t>
  </si>
  <si>
    <t>amenity</t>
  </si>
  <si>
    <t>full</t>
  </si>
  <si>
    <t xml:space="preserve">Change of use from a small house in multiple occupation (C4) for 3-6 people, to a large house in multiple occupation for 7 people (Sui Generis).  </t>
  </si>
  <si>
    <t>02/10//2024</t>
  </si>
  <si>
    <t>Not CIL liable 17/09</t>
  </si>
  <si>
    <t>ARSV 10 October 2024 (10am to 11am)</t>
  </si>
  <si>
    <t>BNG exemption claimed.  De minimis. 6 week date 30 December 2024</t>
  </si>
  <si>
    <t>S62A/2024/0063 (LPA Ref: 24/03843/PINS)</t>
  </si>
  <si>
    <t>Cotham School, Cotham Lawn Road, Cotham, Bristol, BS6 6DT</t>
  </si>
  <si>
    <t>Cotham School</t>
  </si>
  <si>
    <t>Works to install 3no CCTV poles and cameras</t>
  </si>
  <si>
    <t>Not liable 30/09/2024</t>
  </si>
  <si>
    <t>30/10/2024 TMP Ref 506475</t>
  </si>
  <si>
    <t>Q published 25/10</t>
  </si>
  <si>
    <t>ARSV 14 November 2024</t>
  </si>
  <si>
    <r>
      <t xml:space="preserve">BNG exemption claimed.  De minimis. </t>
    </r>
    <r>
      <rPr>
        <sz val="10"/>
        <color rgb="FFFF0000"/>
        <rFont val="Arial"/>
        <family val="2"/>
      </rPr>
      <t>NPPF ref back not needed</t>
    </r>
    <r>
      <rPr>
        <sz val="10"/>
        <color theme="1"/>
        <rFont val="Arial"/>
        <family val="2"/>
      </rPr>
      <t>. 6 week date 29 January 2025</t>
    </r>
  </si>
  <si>
    <t>S62A/2024/0065 (LPA Ref: 24/04013/PINS)</t>
  </si>
  <si>
    <t>Redcliff Quay, 120 Redcliff St, Redcliff, Bristol BS1 6HU</t>
  </si>
  <si>
    <t>Design and impact on Conservation Area</t>
  </si>
  <si>
    <t>Skelton Developments (Nottingham) Limited</t>
  </si>
  <si>
    <t>louise.hambleton@quod.com</t>
  </si>
  <si>
    <t>Installation of replacement windows, doors and curtain walling.</t>
  </si>
  <si>
    <t>Gareth Fort</t>
  </si>
  <si>
    <t>Not liable 14/10/24</t>
  </si>
  <si>
    <t>13/11/2024 TMP Ref 506920</t>
  </si>
  <si>
    <t>Q Publishd 1/11. No reps</t>
  </si>
  <si>
    <t>USV 11/12/2024</t>
  </si>
  <si>
    <r>
      <t xml:space="preserve">BNG exemption claimed.  De minimis. </t>
    </r>
    <r>
      <rPr>
        <sz val="10"/>
        <color rgb="FFFF0000"/>
        <rFont val="Arial"/>
        <family val="2"/>
      </rPr>
      <t>NPPF ref back not needed</t>
    </r>
  </si>
  <si>
    <t>S62A/2024/0071 (LPA Ref: 24/04448/PINS )</t>
  </si>
  <si>
    <t>23 Hillsborough Road, Bristol BS4 3QW</t>
  </si>
  <si>
    <t>Habibo Homes Ltd</t>
  </si>
  <si>
    <t>Change of use from a 7-bed HMO to an 8-bed HMO</t>
  </si>
  <si>
    <r>
      <t>Rebecca Dickson (APO) /</t>
    </r>
    <r>
      <rPr>
        <b/>
        <sz val="10"/>
        <color rgb="FF0B0C0C"/>
        <rFont val="Arial"/>
        <family val="2"/>
      </rPr>
      <t xml:space="preserve"> </t>
    </r>
    <r>
      <rPr>
        <sz val="10"/>
        <color rgb="FF0B0C0C"/>
        <rFont val="Arial"/>
        <family val="2"/>
      </rPr>
      <t>Insp Zoe Raygen</t>
    </r>
  </si>
  <si>
    <t>Not CIL liable 07/11</t>
  </si>
  <si>
    <t>ARSV 20 December 2024 12.00pm</t>
  </si>
  <si>
    <r>
      <t xml:space="preserve">BNG exemption claimed. De minimis. </t>
    </r>
    <r>
      <rPr>
        <sz val="10"/>
        <color rgb="FFFF0000"/>
        <rFont val="Arial"/>
        <family val="2"/>
      </rPr>
      <t>NPPF ref back comments from app requested 17/12</t>
    </r>
  </si>
  <si>
    <t>S62A/2024/0060 (LPA Ref: 5/2024/1530)</t>
  </si>
  <si>
    <t>22 and 24 St.Annes Road, London Colney, AL2 1LJ</t>
  </si>
  <si>
    <t>none envisaged, reason for submitting direct to the planning inspectorate is the length of time St.Albans DC are currently taking to determine applications</t>
  </si>
  <si>
    <t>Turnstone Holdings</t>
  </si>
  <si>
    <t>graham.peel@chantryarchitects.com</t>
  </si>
  <si>
    <t>Demolition of 2no. bungalow and the construction of 5no. four bedroom houses, with associated external works</t>
  </si>
  <si>
    <t>Q published 26//11</t>
  </si>
  <si>
    <r>
      <t>ARSV Friday 13</t>
    </r>
    <r>
      <rPr>
        <vertAlign val="superscript"/>
        <sz val="11"/>
        <color theme="1"/>
        <rFont val="Calibri"/>
        <family val="2"/>
        <scheme val="minor"/>
      </rPr>
      <t>th</t>
    </r>
    <r>
      <rPr>
        <sz val="11"/>
        <color theme="1"/>
        <rFont val="Calibri"/>
        <family val="2"/>
        <scheme val="minor"/>
      </rPr>
      <t xml:space="preserve"> December between 10:30 – 12:30 </t>
    </r>
  </si>
  <si>
    <r>
      <t xml:space="preserve">BNG - yes - condition needed if approved. </t>
    </r>
    <r>
      <rPr>
        <sz val="10"/>
        <color rgb="FFFF0000"/>
        <rFont val="Arial"/>
        <family val="2"/>
      </rPr>
      <t>NPPF ref back not needed</t>
    </r>
    <r>
      <rPr>
        <sz val="10"/>
        <color theme="1"/>
        <rFont val="Arial"/>
        <family val="2"/>
      </rPr>
      <t>. 6 week challenge date 28 Feb 25</t>
    </r>
  </si>
  <si>
    <t>S62A/2024/0064 (LPA Ref: 24/03891/PINS)(Resubmission of 0044)</t>
  </si>
  <si>
    <t>design &amp; highways</t>
  </si>
  <si>
    <t>f</t>
  </si>
  <si>
    <t>Two-storey side extension to create 1no. Dwellinghouse</t>
  </si>
  <si>
    <t>CIL liable 8/10/24</t>
  </si>
  <si>
    <t>Q published. No reps</t>
  </si>
  <si>
    <t>USV 14 November 2024</t>
  </si>
  <si>
    <r>
      <t xml:space="preserve">BNG exemption claimed.  De minimis. </t>
    </r>
    <r>
      <rPr>
        <sz val="10"/>
        <color rgb="FFFF0000"/>
        <rFont val="Arial"/>
        <family val="2"/>
      </rPr>
      <t>NPPF ref back 16 Dec 2024</t>
    </r>
    <r>
      <rPr>
        <sz val="10"/>
        <color theme="1"/>
        <rFont val="Arial"/>
        <family val="2"/>
      </rPr>
      <t>,</t>
    </r>
    <r>
      <rPr>
        <sz val="10"/>
        <color rgb="FFFF0000"/>
        <rFont val="Arial"/>
        <family val="2"/>
      </rPr>
      <t xml:space="preserve"> comments due 6 January 2025</t>
    </r>
    <r>
      <rPr>
        <sz val="10"/>
        <color theme="1"/>
        <rFont val="Arial"/>
        <family val="2"/>
      </rPr>
      <t>. 6 week challenge date 28 Feb 2025</t>
    </r>
  </si>
  <si>
    <t>S62A/2024/0069 (LPA Ref: 24/04121/PINS)</t>
  </si>
  <si>
    <t>20 Whiteladies Road, Clifton, Bristol BS8 2LG</t>
  </si>
  <si>
    <t>Land use change. External changes as CA</t>
  </si>
  <si>
    <t>Mr P Evans</t>
  </si>
  <si>
    <t>colin.pemble@aspect360.co.uk</t>
  </si>
  <si>
    <t>next couple of weeks</t>
  </si>
  <si>
    <t>UPDATED description 30 October 2024
Updated description 20 Oct - Change of use from offices/clinic (Class E) to 8-bed House in Multiple Occupation (sui generis). Infill extension and external alterations including replacement windows to front and rear     OLD Change of use from Class E offices/clinic to a sui generis HMO (for students and/or professionals) with an infill extension and external alterations including replacement front elevation windows</t>
  </si>
  <si>
    <t>Nicola Robinson</t>
  </si>
  <si>
    <t>13/11/2024 / 28/11/2024</t>
  </si>
  <si>
    <r>
      <rPr>
        <sz val="10"/>
        <color rgb="FFFF0000"/>
        <rFont val="Arial"/>
        <family val="2"/>
      </rPr>
      <t>CIL Liable 18/10/2024</t>
    </r>
    <r>
      <rPr>
        <sz val="10"/>
        <color theme="1"/>
        <rFont val="Arial"/>
        <family val="2"/>
      </rPr>
      <t xml:space="preserve">. </t>
    </r>
    <r>
      <rPr>
        <sz val="10"/>
        <color rgb="FFFF0000"/>
        <rFont val="Arial"/>
        <family val="2"/>
      </rPr>
      <t>Applicant has paid monies to Council</t>
    </r>
  </si>
  <si>
    <t>27/11/2024 TMP Ref 507868</t>
  </si>
  <si>
    <t>ARSV 17 December 2024 12.00pm</t>
  </si>
  <si>
    <r>
      <t xml:space="preserve">BNG exemption claimed.  De minimis. CIL liable. </t>
    </r>
    <r>
      <rPr>
        <sz val="10"/>
        <color rgb="FFFF0000"/>
        <rFont val="Arial"/>
        <family val="2"/>
      </rPr>
      <t>NPPF ref back not needed</t>
    </r>
    <r>
      <rPr>
        <sz val="10"/>
        <color theme="1"/>
        <rFont val="Arial"/>
        <family val="2"/>
      </rPr>
      <t>. 6 week challenge date 28 Feb 25</t>
    </r>
  </si>
  <si>
    <t>S62A/2024/0070 (LPA Ref: 24/04400/PINS)</t>
  </si>
  <si>
    <t>David Lloyd, Greystoke Avenue, Bristol, BS10 6AZ</t>
  </si>
  <si>
    <t>Biodiversity / BNG and Parking provision</t>
  </si>
  <si>
    <t>David Lloyd Leisure Ltd</t>
  </si>
  <si>
    <t>Ollie.Collins@Lichfields.uk</t>
  </si>
  <si>
    <t>Erection of extension to the existing club to extend internal spa facilities and the installation of spa garden which includes a hydro pool, sauna and plant room, the creation of additional parking spaces and associated works.</t>
  </si>
  <si>
    <t>CIL liable 04/11/2024. App submitted UU 17/12/2024</t>
  </si>
  <si>
    <t>20/12/2025. Response due 10 Janaury 2025</t>
  </si>
  <si>
    <t>Rebecca due to CIL issue</t>
  </si>
  <si>
    <r>
      <t xml:space="preserve">BNG condition applies if approved. CIL liable. </t>
    </r>
    <r>
      <rPr>
        <sz val="10"/>
        <color rgb="FFFF0000"/>
        <rFont val="Arial"/>
        <family val="2"/>
      </rPr>
      <t>NPPF ref back not needed</t>
    </r>
    <r>
      <rPr>
        <sz val="10"/>
        <color theme="1"/>
        <rFont val="Arial"/>
        <family val="2"/>
      </rPr>
      <t xml:space="preserve"> 6 week challenge date 14 March 2025</t>
    </r>
  </si>
  <si>
    <t>S62A/2024/0073 (LPA Ref: 24/04773/PINS)</t>
  </si>
  <si>
    <t>Redcliff Quay, 120 Redcliff St, Redcliffe, Bristol BS1 6HU</t>
  </si>
  <si>
    <t>Sketon Developments (Nottingham) Limited</t>
  </si>
  <si>
    <t>Installation of portal entrance feature, seating, landscaping and planting, along with replacement build-up and ductwork to roof and floor finished to balconies</t>
  </si>
  <si>
    <t>Gareth Fort (Nichola Robinson validated)</t>
  </si>
  <si>
    <t>in with letter 7</t>
  </si>
  <si>
    <t>Not CIL liable 2/12/24</t>
  </si>
  <si>
    <t>08/01/2025. TMP Ref: 510120</t>
  </si>
  <si>
    <t>USV w/c 09/12/2024</t>
  </si>
  <si>
    <r>
      <t xml:space="preserve">BNG exemption claimed. De minimis. </t>
    </r>
    <r>
      <rPr>
        <sz val="10"/>
        <color rgb="FFFF0000"/>
        <rFont val="Arial"/>
        <family val="2"/>
      </rPr>
      <t>NPPF ref back not needed</t>
    </r>
    <r>
      <rPr>
        <sz val="10"/>
        <color theme="1"/>
        <rFont val="Arial"/>
        <family val="2"/>
      </rPr>
      <t>. 6 week challenge date 14 March 2025</t>
    </r>
  </si>
  <si>
    <t>S62A/2024/0066 (LPA Ref: 24/04103/PINS )</t>
  </si>
  <si>
    <t>10 Rylestone Grove Bristol BS9 3UT</t>
  </si>
  <si>
    <t>Mr Paul Williams</t>
  </si>
  <si>
    <t>RMoffat@lsh.co.uk</t>
  </si>
  <si>
    <t xml:space="preserve">Proposed demolition of existing dwelling and erection of replacement dwelling </t>
  </si>
  <si>
    <t>Graham Wraight</t>
  </si>
  <si>
    <t>12/11/2024 - 13/12/2024</t>
  </si>
  <si>
    <t>requested 22 October 2024</t>
  </si>
  <si>
    <t>NPPF?</t>
  </si>
  <si>
    <t>CIL liable 17/10/2024</t>
  </si>
  <si>
    <t xml:space="preserve">App says BNG exempt (self build). CIL Liable. Application closed down 26 Feb 2025 due to no response to invalid letter and chaser emails. </t>
  </si>
  <si>
    <t>S62A/2025/0078 (LPA Ref: 25/10513/PINS)</t>
  </si>
  <si>
    <t>65 Lodge Causeway, Fishponds, Bristol, BS16 3JA</t>
  </si>
  <si>
    <t>Design and Residential Amenity</t>
  </si>
  <si>
    <t>Mr Jagjit Rai</t>
  </si>
  <si>
    <t>20 Janaury 2025</t>
  </si>
  <si>
    <t>Erection of rear dormer to enlarge loft room</t>
  </si>
  <si>
    <t>requested 06/02/25</t>
  </si>
  <si>
    <t>Not CIL liable 04/02</t>
  </si>
  <si>
    <r>
      <t xml:space="preserve">BNG exemption claimed. De minimis. </t>
    </r>
    <r>
      <rPr>
        <b/>
        <sz val="10"/>
        <color rgb="FFFF0000"/>
        <rFont val="Arial"/>
        <family val="2"/>
      </rPr>
      <t>Applicant has decided not to proceed</t>
    </r>
  </si>
  <si>
    <t>S62A/2025/0076 (LPA Ref: 5/2025/0068)</t>
  </si>
  <si>
    <t>Colne Spring Villa, Coursers Rd, Colney Heath, St Albans AL4 0PB</t>
  </si>
  <si>
    <t>Green Belt, Character &amp; Appearance, Trees, Highways, Ecology, Landscape, Sustainability</t>
  </si>
  <si>
    <t>The Manor Group’</t>
  </si>
  <si>
    <t>james@dlatownplanning.com</t>
  </si>
  <si>
    <t>early January 2025</t>
  </si>
  <si>
    <t>Erection of eco-village comprising 9 dwellings and community hub with associated access, parking and landscaping</t>
  </si>
  <si>
    <t>ARSV 14 February 2025 10.30am - 12.30pm</t>
  </si>
  <si>
    <t>BNG condition applies if approved. 6 week date 23 April 2025</t>
  </si>
  <si>
    <t>S62A/2024/0072 (LPA Ref: 24/04484/PINS)</t>
  </si>
  <si>
    <r>
      <t>8 Druid Stoke Avenue, Bristol,</t>
    </r>
    <r>
      <rPr>
        <b/>
        <sz val="11"/>
        <color theme="1"/>
        <rFont val="Aptos"/>
        <family val="2"/>
      </rPr>
      <t xml:space="preserve"> </t>
    </r>
    <r>
      <rPr>
        <sz val="11"/>
        <color theme="1"/>
        <rFont val="Aptos"/>
        <family val="2"/>
      </rPr>
      <t>BS9 1DD</t>
    </r>
  </si>
  <si>
    <t>Mr and Mrs D Ashby</t>
  </si>
  <si>
    <t>Frances@healplanning.co.uk</t>
  </si>
  <si>
    <t>Proposed dwelling and associated works</t>
  </si>
  <si>
    <t>CIL liable 11/11/2024</t>
  </si>
  <si>
    <t>ARSV 21 February 2025 10.30am - 12.30pm</t>
  </si>
  <si>
    <t>due 04/03</t>
  </si>
  <si>
    <t>BNG exemption claimed. Self build. CIL liable. NPPF comments requested before starting. 6 week date 24 April 2025</t>
  </si>
  <si>
    <t>S62A/2025/0081 (LPA Ref: 25/10702/PINS)</t>
  </si>
  <si>
    <t>14 Marlborough Street, Bristol, BS5 6RH</t>
  </si>
  <si>
    <t>principle of development, design, parking, neighbour amenity</t>
  </si>
  <si>
    <t>Picturesque living Ltd</t>
  </si>
  <si>
    <t>Change of use from a C3 dwellinghouse to a C4 small HMO, including reinstatement of front parapet wall, and a part single, part two-storey rear extension</t>
  </si>
  <si>
    <t>Not CIL liable 17/02/2025</t>
  </si>
  <si>
    <t>ARSV 28 March 2025 11.00 to 13.00</t>
  </si>
  <si>
    <t>BNG exemption claimed. De minimis</t>
  </si>
  <si>
    <t>S62A/2025/0079 (LPA Ref: 25/10551/PINS)</t>
  </si>
  <si>
    <t>515-517, Stockwood Road, Brislington, Bristol, BS4 5LR</t>
  </si>
  <si>
    <t>Design</t>
  </si>
  <si>
    <t>Stockwood Land 2 Ltd</t>
  </si>
  <si>
    <t>info &lt;info@stokesmorgan.co.uk&gt;</t>
  </si>
  <si>
    <t>Outline with some matters reserved</t>
  </si>
  <si>
    <t>Outline application for the erection of a 6-Storey building comprising 9no. self-contained flats (Access, Layout, Scale, and Appearance to be determined</t>
  </si>
  <si>
    <t>20/02/2025 &amp; 26/02/2025</t>
  </si>
  <si>
    <t>submitted 25/02/2025</t>
  </si>
  <si>
    <t>S62A/2025/0082 (LPA Ref: 25/10707/PINS)</t>
  </si>
  <si>
    <t>Bull Inn, 333 Crews Hole Road, Bristol, BS5 8BQ</t>
  </si>
  <si>
    <t>Loss of existing public house use and demolition of existing building within a conservation area</t>
  </si>
  <si>
    <t>Wellington Pub Company</t>
  </si>
  <si>
    <t>JamesSturgess@caldecottegroup.com</t>
  </si>
  <si>
    <t>Demolition of existing building and erection of a new block of apartment comprising 9 dwellings (6 x 2 bedroom flats and 3 x 1 bedroom flats) Together with the addition of PV panels and airsource hear pumps</t>
  </si>
  <si>
    <t>CIL liable</t>
  </si>
  <si>
    <t>26/03/2025 TMP ref 515913</t>
  </si>
  <si>
    <t>USV 28 March 2025</t>
  </si>
  <si>
    <t>BNG condition applies if approved.</t>
  </si>
  <si>
    <t>S62A/2025/0094 (LPA Ref: 25/11125/PINS)</t>
  </si>
  <si>
    <t>mark.tombs@ntrplanning.co.uk</t>
  </si>
  <si>
    <t>Use of part of the roof area as an outdoor terrace, comprising the provision of a metal canopy frame with retractable sunshade, glass balustrade and acoustic screen and provision of biodiverse green roof to part of roof top plant room (revised application to S62A/2024/0053</t>
  </si>
  <si>
    <t>Rebecca Dickson / Zoe Raygen</t>
  </si>
  <si>
    <t>Not CIL liable 12/03/2025</t>
  </si>
  <si>
    <t>02/04/2025. TMP ref 516229</t>
  </si>
  <si>
    <t>ARSV 10 April 2025 2.00pm</t>
  </si>
  <si>
    <t>S62A/2025/0085 (LPA Ref: 25/10865/PINS)</t>
  </si>
  <si>
    <t>1-3 High Street, Bristol BS9 3DR</t>
  </si>
  <si>
    <t>Design, parking and residential amenity</t>
  </si>
  <si>
    <t>1 High Street Ltd</t>
  </si>
  <si>
    <t>Change of use of first floor ancillary commercial accommodation to 2no. self-contained flats. Erection of a second-floor extension to provide 2no. self-contained flats</t>
  </si>
  <si>
    <t>Rebecca Dickson (Zoe Raygen)</t>
  </si>
  <si>
    <t>19/03/2025. TMP ref 515133</t>
  </si>
  <si>
    <t>ARSV 10/04/2025 11.00am</t>
  </si>
  <si>
    <t>S62A/2025/0080 (LPA Ref: 25/10650/PINS  )</t>
  </si>
  <si>
    <t>17 Clarendon Road, Bristol BS6 7EL</t>
  </si>
  <si>
    <t xml:space="preserve">Erection of single storey rear extension at lower ground level and conversion of property from a 13-bedroom House in Multiple Occupation (HMO) to a 3-bedroom HMO at lower ground level; a 2-bedroom flat at ground floor and a 7-bedroom HMO at first and second floor. </t>
  </si>
  <si>
    <t>14/02/2025 requesting change to proposal description</t>
  </si>
  <si>
    <t>12/03/2025 TMP ref 514756</t>
  </si>
  <si>
    <t>ARSV 26/03/2025</t>
  </si>
  <si>
    <t>S62A/2025/0084 (LPA Ref: 25/10801/PINS )</t>
  </si>
  <si>
    <t>37 Sandholme Road</t>
  </si>
  <si>
    <t>Mr T Mc Greene</t>
  </si>
  <si>
    <t>Demolition of existing rear extension and erection of new rear extension and loft conversion, to facilitate subdivision of existing dwelling to create two residential flats (C3)</t>
  </si>
  <si>
    <t>21/02/2025 requesting change to proposal description</t>
  </si>
  <si>
    <t>S62A/2025/0092 (LPA Ref: 25/11086/PINS )</t>
  </si>
  <si>
    <t>10 Melvin Square, Knowle, Bristol BS4 1LZ</t>
  </si>
  <si>
    <t>are the dwellings now HMOs, thereby overcoming the reason for refusal for the recently dismissed appeal ref 3353637</t>
  </si>
  <si>
    <t>Mr Kevin Patel</t>
  </si>
  <si>
    <t>swaplanning@outlook.com</t>
  </si>
  <si>
    <t>Ground, first and second floor extensions to 10 Melvin Square and first floor side extension to 1 Ilminster Avenue, to create 2no. large HMOs (1no. 9-bed, 1no. 7-bed), with cycle storage and retail storage at ground floor level (resubmission of planning permission 24/00433/F).</t>
  </si>
  <si>
    <t>Zoe Raygen validated / Claire Shearing</t>
  </si>
  <si>
    <t>S62A/2025/0088 (LPA Ref: 25/10922/PINS )</t>
  </si>
  <si>
    <t>7 Redcatch Road, Bristol, BS4 2EP</t>
  </si>
  <si>
    <t>principle of development, parking, residential amenity, design</t>
  </si>
  <si>
    <t>Amanda and Robert Clifford</t>
  </si>
  <si>
    <t>Change of ground floor from Class E to 1no. residential flat, including removal of shopfront, partial demolition of rear extension, and erection of a ground floor rear extension</t>
  </si>
  <si>
    <t>Not CIL liable 28/02/2025</t>
  </si>
  <si>
    <t>09/04/2025 TMP ref 517003</t>
  </si>
  <si>
    <t xml:space="preserve">ARSV 29 April </t>
  </si>
  <si>
    <t>Winches Farm
5 Kay Walk
St Albans
AL4 0XX</t>
  </si>
  <si>
    <t>Considerations of the size of the rear extension judged against the preservation of the special architectural or historic interest of the host building</t>
  </si>
  <si>
    <t>Felix Treanor and Anat</t>
  </si>
  <si>
    <t>info@conceptplanning.co.uk</t>
  </si>
  <si>
    <t>Householder and listed building consent</t>
  </si>
  <si>
    <t xml:space="preserve">Erection of a six (6) metre deep single storey rear extension, demolition and rebuild of the conservatory, enlargement and replacement of existing side door and window, insertion of a pocket flank window and minor landscape changes.      </t>
  </si>
  <si>
    <t>Householder, so returned</t>
  </si>
  <si>
    <t>S62A/2025/0093 (LPA Ref: 25/11073/PINS)</t>
  </si>
  <si>
    <t>43A (Land Adjacent To 43) Ambleside Avenue Bristol BS10 6HB</t>
  </si>
  <si>
    <t>Tom Upton</t>
  </si>
  <si>
    <t>adam@barefootarchitects.co.uk</t>
  </si>
  <si>
    <t>None</t>
  </si>
  <si>
    <t xml:space="preserve">Erection of a new semi detached dwelling. </t>
  </si>
  <si>
    <t>Kevin Savage</t>
  </si>
  <si>
    <t>ARSV 3 April 2025</t>
  </si>
  <si>
    <t>David</t>
  </si>
  <si>
    <t>S62A/2025/0096 (LPA Ref: 25/11372 )</t>
  </si>
  <si>
    <t>399 Filton Avenue, Bristol, BS7 0LH</t>
  </si>
  <si>
    <t>M T H Development Ltd</t>
  </si>
  <si>
    <t>Change of use of dwelling to small house in multiple occupation (Use Class C4) with associated cycle parking and refuse/recycling storage</t>
  </si>
  <si>
    <t>Jack Hobbs</t>
  </si>
  <si>
    <t>Not CIL liable 26/03/2025</t>
  </si>
  <si>
    <t>ARSV 12.30 to 14.30 28 May 2025</t>
  </si>
  <si>
    <t>S62A/2025/0087 (LPA Ref: 5/2025/0331)</t>
  </si>
  <si>
    <t>Land Between 84-108 Ragged Hall Lane, Chiswell Green, St Albans, Hertfordshire</t>
  </si>
  <si>
    <t>Grey belt?</t>
  </si>
  <si>
    <t>Mr Martin Holderness</t>
  </si>
  <si>
    <t>James Hammond &lt;jthammond1981@gmail.com&gt;</t>
  </si>
  <si>
    <t>Outline with all matters reserved other than access</t>
  </si>
  <si>
    <r>
      <rPr>
        <strike/>
        <sz val="10"/>
        <color theme="1"/>
        <rFont val="Arial"/>
        <family val="2"/>
      </rPr>
      <t xml:space="preserve">27/03/2024 </t>
    </r>
    <r>
      <rPr>
        <sz val="10"/>
        <color theme="1"/>
        <rFont val="Arial"/>
        <family val="2"/>
      </rPr>
      <t xml:space="preserve"> 10/02/2025</t>
    </r>
  </si>
  <si>
    <r>
      <rPr>
        <strike/>
        <sz val="10"/>
        <color theme="1"/>
        <rFont val="Arial"/>
        <family val="2"/>
      </rPr>
      <t>w/c 15 April 202</t>
    </r>
    <r>
      <rPr>
        <sz val="10"/>
        <color theme="1"/>
        <rFont val="Arial"/>
        <family val="2"/>
      </rPr>
      <t>4 w/c 24 February 2025</t>
    </r>
  </si>
  <si>
    <t>Outline planning application (all matters reserved other than access) for 7 serviced plots for self-build and custom housebuilding</t>
  </si>
  <si>
    <t>10/04/2025 TMP ref 516563</t>
  </si>
  <si>
    <t>USV 23 April</t>
  </si>
  <si>
    <t>BNG exemption claimed. Self and custom build development</t>
  </si>
  <si>
    <t>S62A/2025/0091 (LPA Ref: 25/11000/PINS )</t>
  </si>
  <si>
    <t>265-267 Church Road, Bristol, BS5 9HT</t>
  </si>
  <si>
    <t>principle of development, design, parking, residential amenity</t>
  </si>
  <si>
    <t>Shire Property Ltd</t>
  </si>
  <si>
    <t>`</t>
  </si>
  <si>
    <t>Erection of a second floor roof extension, demolition and rebuilding of a single storey rear extension,  and change of use of upper floors from ancillary commercial space to a large 8-bed HMO. New shopfronts to retained ground floor commercial units</t>
  </si>
  <si>
    <t>Nichola Robinson</t>
  </si>
  <si>
    <r>
      <rPr>
        <strike/>
        <sz val="10"/>
        <color theme="1"/>
        <rFont val="Arial"/>
        <family val="2"/>
      </rPr>
      <t>17/04/2025</t>
    </r>
    <r>
      <rPr>
        <sz val="10"/>
        <color theme="1"/>
        <rFont val="Arial"/>
        <family val="2"/>
      </rPr>
      <t xml:space="preserve"> 24/04/2025 at 11.00am</t>
    </r>
  </si>
  <si>
    <t>checked ok to issue with David M</t>
  </si>
  <si>
    <t>S62A/2025/0101 (LPA Ref: 25/11876/PINS)</t>
  </si>
  <si>
    <t>No.7 Belvedere Road, Westbury Park, Bristol, BS6 7JG</t>
  </si>
  <si>
    <t>MeadowCare Homes</t>
  </si>
  <si>
    <t>lyn@planningventures.co.uk</t>
  </si>
  <si>
    <t>Change of use from three residential flats (Use Class C3) to a 12-bedroom extension to an existing Nursing Home (Use Class C2), including demolition and replacement of rear extension and external alterations</t>
  </si>
  <si>
    <t>Not CIL liable 28/04/2025</t>
  </si>
  <si>
    <t>14/05/2025 TMP ref 519101</t>
  </si>
  <si>
    <t>ARSV 09/06/2025</t>
  </si>
  <si>
    <t>S62A/2025/0104 (LPA Ref: 25/11987/PINS )</t>
  </si>
  <si>
    <t>Flat 4, The Mont, Bristol BS6 5ED</t>
  </si>
  <si>
    <t>Change of use to a small HMO</t>
  </si>
  <si>
    <t>Darren Hendley validating / Bhu Thandi</t>
  </si>
  <si>
    <t>Not CIL Liable 02/05/2025</t>
  </si>
  <si>
    <t>28/05/2025 TMP ref 519906</t>
  </si>
  <si>
    <t>USV 23 June 2025</t>
  </si>
  <si>
    <t>S62A/2025/0097 (LPA Ref: 25/11415/PINS)</t>
  </si>
  <si>
    <t>7 Bellevue Cottages, Clifton, Bristol, BS8 4TG</t>
  </si>
  <si>
    <t>Principle of change of use</t>
  </si>
  <si>
    <t>Mrs A Gay</t>
  </si>
  <si>
    <t>Change of use from residential dwelling (C4) to small house of Multiple Application (C4)</t>
  </si>
  <si>
    <t>Not CIL liable 31/03/2025</t>
  </si>
  <si>
    <t>21/05/2025 TMP ref 519479</t>
  </si>
  <si>
    <t>ARSV 11.00 to 13.00 13 June 2025</t>
  </si>
  <si>
    <t>S62A/2025/0103 (LPA Ref: 25/11957/PINS )</t>
  </si>
  <si>
    <t>6 Gordon Road, Clifton, Bristol, BS8 1AP</t>
  </si>
  <si>
    <t>Relocation (loss) of pre-school use (policy), sustainability of location, heritage benefits, need for housing</t>
  </si>
  <si>
    <t>Ms Mary Lazo</t>
  </si>
  <si>
    <t>dale@deplanning.co.uk</t>
  </si>
  <si>
    <t>Change of use of vacant pre-school back to single two bed flat</t>
  </si>
  <si>
    <r>
      <rPr>
        <strike/>
        <sz val="10"/>
        <color theme="1"/>
        <rFont val="Arial"/>
        <family val="2"/>
      </rPr>
      <t xml:space="preserve">Gareth Fort </t>
    </r>
    <r>
      <rPr>
        <sz val="10"/>
        <color theme="1"/>
        <rFont val="Arial"/>
        <family val="2"/>
      </rPr>
      <t>Rebecca Dickson / Zoe Raygen</t>
    </r>
  </si>
  <si>
    <t>Not CIL Liable 01/05/2025</t>
  </si>
  <si>
    <t>21/05/2025 TMP ref 519463</t>
  </si>
  <si>
    <t>S62A/2025/0102 (LPA Ref: 25/11956/PINS)</t>
  </si>
  <si>
    <t>87A Redland Road, Redland, Bristol BS6 6RD.</t>
  </si>
  <si>
    <t>Mixed and balanced communities, effect on residential amenity, cycle parking, and proposed living conditions.</t>
  </si>
  <si>
    <t>GHL Properties Ltd.</t>
  </si>
  <si>
    <t xml:space="preserve">kevin.morley@stokesmorgan.co.uk  </t>
  </si>
  <si>
    <t>minor development</t>
  </si>
  <si>
    <t>Change of use from 2no. maisonettes to House in Multiple Occupation containing 10no. bedrooms (sui generis), with associated bin and bike storage.</t>
  </si>
  <si>
    <t>Not CIL Liable 29/04/2025</t>
  </si>
  <si>
    <t>21/05/2025 TMP ref 519833</t>
  </si>
  <si>
    <t>ARSV 11.30 to 13.00 13 June 2025</t>
  </si>
  <si>
    <t>S62A/2025/0106 (LPA Ref: 25/12110/PINS)</t>
  </si>
  <si>
    <t>No. 6 Tyndalls Park Road, Bristol, BS8 1PY</t>
  </si>
  <si>
    <t xml:space="preserve">Mr Roderick Bendle </t>
  </si>
  <si>
    <t>Demolition of boundary wall, altered access and construction of a two-storey house in multiple occupation (Class C4) with associated provision of amenity space, refuse and cycle storage</t>
  </si>
  <si>
    <t>04/06/2025 TMP ref 520306</t>
  </si>
  <si>
    <t>ARSV 10.00am to noon 23 June 2025</t>
  </si>
  <si>
    <t>S62A/2025/0108 (LPA Ref: 25/12280/PINS)</t>
  </si>
  <si>
    <t>11-13 High Street, Westbury-on-Trym, Bristol BS9 3BF</t>
  </si>
  <si>
    <t>South West Estates</t>
  </si>
  <si>
    <t>First-floor extension to rear of shop and creation of small House in Multiple Occupation (Use Class C4) with associated works.</t>
  </si>
  <si>
    <t>18/06/2025 TMP ref 521404</t>
  </si>
  <si>
    <t>S62A/2025/0109 (LPA Ref:  25/12462/PINS))</t>
  </si>
  <si>
    <t>237/237A Gloucester Road, Bristol BS7 8NX</t>
  </si>
  <si>
    <t xml:space="preserve"> principle of development, highways, residential amenity, neighbour amenity</t>
  </si>
  <si>
    <t>CDC Ltd</t>
  </si>
  <si>
    <t>Change of use to 2no. small HMOs</t>
  </si>
  <si>
    <t>Darren Hendley validating / Claire Shearing</t>
  </si>
  <si>
    <t>10/06/205</t>
  </si>
  <si>
    <t>Not CIL Liable 04/06/2025</t>
  </si>
  <si>
    <t>11.30 - 13.30 17 July 2025</t>
  </si>
  <si>
    <t>S62A/2025/0110 (LPA Ref:25/12705/PINS)</t>
  </si>
  <si>
    <t>residential amenity, access (resubmission of S62A/2025/0088 , refused on these two grounds only)</t>
  </si>
  <si>
    <t xml:space="preserve">Change of ground floor from Class E to 1no. residential flat, including removal of shopfront, partial demolition of rear extension, and erection of a ground floor rear extension </t>
  </si>
  <si>
    <t>Andrew Robinson validating / Cullum Parker</t>
  </si>
  <si>
    <t>Not CIL Liable 19/06/2025</t>
  </si>
  <si>
    <t>09/07/2025 TMP ref 522904</t>
  </si>
  <si>
    <t>S62A/2025/0090 (LPA Ref: 25/10970/PINS)</t>
  </si>
  <si>
    <t>2 Merton Road, Bristol BS7 8TL</t>
  </si>
  <si>
    <t>MSJ Developments (Bristol) Ltd</t>
  </si>
  <si>
    <t>Erection of a second floor extension, and the change of use to 6no. small houses in multiple occupation (Use Class C4).</t>
  </si>
  <si>
    <r>
      <rPr>
        <strike/>
        <sz val="10"/>
        <color theme="1"/>
        <rFont val="Arial"/>
        <family val="2"/>
      </rPr>
      <t>Jennifer Wallace</t>
    </r>
    <r>
      <rPr>
        <sz val="10"/>
        <color theme="1"/>
        <rFont val="Arial"/>
        <family val="2"/>
      </rPr>
      <t xml:space="preserve"> Claire Shearing</t>
    </r>
  </si>
  <si>
    <t>Na</t>
  </si>
  <si>
    <t>11.00 - 13.00 17 July 2025</t>
  </si>
  <si>
    <t>S62A/2025/0111 (LPA Ref: 25/12838/PINS)</t>
  </si>
  <si>
    <t>The Annexe at 11-13 Whiteladies Road, Bristol, BS8 1PB</t>
  </si>
  <si>
    <t>Urban Creation (11-13WLR) Ltd</t>
  </si>
  <si>
    <t>Full Planning &amp; Demolition in a conservation area</t>
  </si>
  <si>
    <t>Demolition of the rear annexe and delivery of 4 mews houses for short-term let with associated landscaping and other works</t>
  </si>
  <si>
    <t>Darren Hendley validating / Cullum Parker</t>
  </si>
  <si>
    <t>ok'd 8/7/25 TMP ref 523237</t>
  </si>
  <si>
    <t>S62A/2025/0105 (LPA Ref: 25/12081/PINS )</t>
  </si>
  <si>
    <t>No. 9 Priory Road, Clifton, Bristol BS8 1PY</t>
  </si>
  <si>
    <t xml:space="preserve">Mr Pete Evans of Eastman Developments Ltd </t>
  </si>
  <si>
    <r>
      <t>Partial demolition of boundary wall, altered access and construction of a two-storey house in multiple occupation </t>
    </r>
    <r>
      <rPr>
        <sz val="10"/>
        <color rgb="FF000000"/>
        <rFont val="Arial"/>
        <family val="2"/>
      </rPr>
      <t>(Class C4) with associated provision of amenity space, refuse and cycle storage</t>
    </r>
  </si>
  <si>
    <t>04/06/2025 TMP ref 520301</t>
  </si>
  <si>
    <t>BNG info requested, response due 16 July 2025</t>
  </si>
  <si>
    <t>BNG condition applies if approved</t>
  </si>
  <si>
    <r>
      <t xml:space="preserve">S62A/2025/0122 (LPA Ref: 25/13928/PINS) </t>
    </r>
    <r>
      <rPr>
        <sz val="10"/>
        <color rgb="FFFF0000"/>
        <rFont val="Arial"/>
        <family val="2"/>
      </rPr>
      <t>WITHDRAWN 25/09</t>
    </r>
  </si>
  <si>
    <t>Unit 7 Newbridge Trading Estate
Newbridge Close
St. Annes
Bristol 
BS4 4AX</t>
  </si>
  <si>
    <t>Provision of an educational use (community use) within an area allocated as a Principal Industrial and Warehousing Area; flood risk; and transport issues</t>
  </si>
  <si>
    <t>Autism Unlimited</t>
  </si>
  <si>
    <t>A change of use from an office (use class E.G.i) to an office use (use class E.G.i) or an educational use (use clase F1) under Class V of Part 3 of Schedule 2 of The Town &amp; Country Planning (General Permitted Development)(England) Order 2015</t>
  </si>
  <si>
    <t>Katie McDonald</t>
  </si>
  <si>
    <t>requested 24/09</t>
  </si>
  <si>
    <t>WITHDRAWN 25/09</t>
  </si>
  <si>
    <t>Not CIL liable 15/09/2025</t>
  </si>
  <si>
    <t>S62A/2025/0112 (LPA Ref: 25/13171/PINS )</t>
  </si>
  <si>
    <t>66-70 Church Road, Bristol BS5 9JY</t>
  </si>
  <si>
    <t>principle of development, design, highways, residential amenity, neighbour amenity</t>
  </si>
  <si>
    <t>Made Forever Church</t>
  </si>
  <si>
    <t>Demolition of existing buildings, and the erection of a three-storey building comprising 6no flats, and 3no. terraced dwelling houses</t>
  </si>
  <si>
    <t>ARSV 13.00 to 15.00 28 August 2025</t>
  </si>
  <si>
    <t>David?</t>
  </si>
  <si>
    <t>S62A/2025/0124 (LPA Ref: )</t>
  </si>
  <si>
    <t>design, parking, residential amenity</t>
  </si>
  <si>
    <t>Change of use of ground commercial unit to 2no. self-contained flats, including reconfiguration of ground floor
front elevation fenestration, and refuse/recycling and cycle storage</t>
  </si>
  <si>
    <t>Hayley Butcher</t>
  </si>
  <si>
    <t>WITHDRAWN 01/10</t>
  </si>
  <si>
    <t>Not CIL Liable 18/09/2025</t>
  </si>
  <si>
    <t>needed</t>
  </si>
  <si>
    <t>Withdrawn 01/10/2025</t>
  </si>
  <si>
    <t>S62A/2025/0114 (LPA Ref: 25/13332/PINS  )</t>
  </si>
  <si>
    <t>87 Queenshill Road Bristol BS4 2XQ</t>
  </si>
  <si>
    <t>design, highways, amenity</t>
  </si>
  <si>
    <t>Erection of detached bungalow in rear garden</t>
  </si>
  <si>
    <t>Darren Hendley validating / Zoe Raygen</t>
  </si>
  <si>
    <t>10/09/2025 Applicant's comments invited on Tree Forum response</t>
  </si>
  <si>
    <t>ARSV 11.00 to 13.00 1 October 2025</t>
  </si>
  <si>
    <t>S62A/2025/0113 (LPA Ref: 25/13176/PINS)</t>
  </si>
  <si>
    <t>Chasefield House, 888 Fishponds Road, Bristol BS16 3XB</t>
  </si>
  <si>
    <t>Loss of former care home use; housing mix and principle of HMO accommodation; access and parking; residential amenity (existing and proposed); design and heritage (in relation to storage and proposed external alterations); and sustainability (renewable energy).</t>
  </si>
  <si>
    <t>HAS 7 Kimited</t>
  </si>
  <si>
    <t>rebecca.morgan@stokesmorgan.co.uk</t>
  </si>
  <si>
    <t>Conversion of existing care home (Use Class C2) to provide two separate, large Sui Generis HMO’s (1no. 9
bedroom and 1no. 10 bedroom) together with associated external alterations to the building</t>
  </si>
  <si>
    <t>06/08/2025 TMP ref 525149</t>
  </si>
  <si>
    <t>10/09/2025. Applicant's comments invited on CRU response</t>
  </si>
  <si>
    <t>ARSV 1.30pm to 3.30pm 2 October 2025</t>
  </si>
  <si>
    <t>S62A/2025/0116 (LPA Ref: 25/13538/PINS)</t>
  </si>
  <si>
    <t>144 Whitehall Road, Bristol, BS5 9BP</t>
  </si>
  <si>
    <t>Duncan Blackmore</t>
  </si>
  <si>
    <t>duncan@arrantland.com</t>
  </si>
  <si>
    <t>Conversion of ground floor betting office (Suis Generis) to create a self-contained apartment (Class C3)</t>
  </si>
  <si>
    <t>Not CIL Liable 18/08</t>
  </si>
  <si>
    <t>fee rec late PM so valid date from next day</t>
  </si>
  <si>
    <t>S62A/2025/0117 (LPA Ref: 25/13544/PINS)</t>
  </si>
  <si>
    <t>Change of use of betting shop (Sui Generis), roof alterations, extension and external alterations to create 2 no. additional flats (use class C3) together with the internal reconfiguration of the existing first floor flat</t>
  </si>
  <si>
    <t>S62A/2025/0115 (LPA Ref: 25/13462/PINS)</t>
  </si>
  <si>
    <t>110-112 The Assembly, East Street, Bedminster, Bristol, BS3 4EY</t>
  </si>
  <si>
    <t>TMT Capital Ltd</t>
  </si>
  <si>
    <t>Demolition of rear extensions and construction of a large HMO (Sui Generis). Change of use of remaining ground floor unit from public house to a commercial unit (Use Class E)</t>
  </si>
  <si>
    <t>TBC</t>
  </si>
  <si>
    <t>15/08/2025 TMP Ref 525773</t>
  </si>
  <si>
    <t>BNG exemption claimed. De minimis. EoT needed due to certs update</t>
  </si>
  <si>
    <t>S62A/2025/0118 (LPA Ref: 25/13554/PINS )</t>
  </si>
  <si>
    <t>11-13 Whiteladies Road, Bristol, BS8 1PB</t>
  </si>
  <si>
    <t>Change of use from office to provide 20 no. purpose-built student units and associated works</t>
  </si>
  <si>
    <t>27/08/2025 TMP Ref 526496</t>
  </si>
  <si>
    <t>ARSV 12.00 to 14.00 01 October 2025</t>
  </si>
  <si>
    <t>10 days notice not given. BNG exemption claimed. De minimis</t>
  </si>
  <si>
    <t>S62A/2025/0123 (LPA Ref: 25/14029/PINS)</t>
  </si>
  <si>
    <t>13 Risdale Road, Bristol, BS3 2QU</t>
  </si>
  <si>
    <t>Noogle Property Ltd</t>
  </si>
  <si>
    <t xml:space="preserve">erection of a detached dwellinghouse </t>
  </si>
  <si>
    <t>30/10/2025 USV</t>
  </si>
  <si>
    <t xml:space="preserve">due 11/11/2025 </t>
  </si>
  <si>
    <t>BNG condition if approved</t>
  </si>
  <si>
    <t>S62A/2025/0126 (LPA Ref: 25/14113/PINS)</t>
  </si>
  <si>
    <t>2–5 Highland Square, Clifton, Bristol, BS8 2YB</t>
  </si>
  <si>
    <t>Mr R. Tebby</t>
  </si>
  <si>
    <t>Redevelopment comprising the retention of a 4-bedroom House in Multiple Occupation (HMO) and construction of 4no. new residential flats (Use Class C3)</t>
  </si>
  <si>
    <t>Tom Gilbert-Wooldridge</t>
  </si>
  <si>
    <t>Not CIL Liable 22/09/2025</t>
  </si>
  <si>
    <t>08/10/2025 TMP Ref 528847</t>
  </si>
  <si>
    <t>ARSV 14.30 to 16.00 13 October 2025</t>
  </si>
  <si>
    <t>S62A/2025/0119 (LPA Ref: 25/13718/PINS)</t>
  </si>
  <si>
    <t xml:space="preserve">23 Hillsborough Rd, Bristol BS4 3QW. </t>
  </si>
  <si>
    <t>Browel Property Ltd</t>
  </si>
  <si>
    <t>dan@habibohomes.co.uk</t>
  </si>
  <si>
    <t>Erection of a rear extension and internal alterations to facilitate the change of use of the property to a 9-bedroom House in Multiple Occupation (HMO) (Use Class Sui Generis)</t>
  </si>
  <si>
    <t>Gareth Fort / Katie McDonald</t>
  </si>
  <si>
    <t>Not CIL liable 01/09/2025</t>
  </si>
  <si>
    <t>USV 13 November 2025</t>
  </si>
  <si>
    <t xml:space="preserve">BNG exemption claimed. De minimis. </t>
  </si>
  <si>
    <t>S62A/2025/0127(LPA Ref: 25/14242/PINS)</t>
  </si>
  <si>
    <t>6-8 Emery Road,  Brislington,  Bristol BS4 5PF</t>
  </si>
  <si>
    <t xml:space="preserve">Trustees of AMP Electrical Retirement Benefits Scheme </t>
  </si>
  <si>
    <t>david@beresford-smith.com</t>
  </si>
  <si>
    <t>Proposed construction of 5no. mini factory units, Use Class B2</t>
  </si>
  <si>
    <t>George Baird / Katie McDonald</t>
  </si>
  <si>
    <t>No CIL liability 26/09/2025</t>
  </si>
  <si>
    <t>S62A/2025/0120  (LPA Ref: 25/13864/PINS)</t>
  </si>
  <si>
    <t>286 - 292 Wells Road, Knowle, Bristol, BS4 2PU</t>
  </si>
  <si>
    <t>Empyrean Properties Ltd</t>
  </si>
  <si>
    <t xml:space="preserve">Erection of a roof extension, first floor rear extension and external alterations to shopfront to create 2no. new commercial units and 9no. self-contained flats, </t>
  </si>
  <si>
    <t>Zoe Raygen validating/ Gareth Fort</t>
  </si>
  <si>
    <t>CIL lLiable</t>
  </si>
  <si>
    <t>28/10/2025 USV</t>
  </si>
  <si>
    <t>31/10/2025. Comments due 13/11/2025</t>
  </si>
  <si>
    <t>S62A/2025/0121 (LPA Ref: )</t>
  </si>
  <si>
    <t>61 Cotman Walk, Lockleaze. Bristol, BS7 9UG</t>
  </si>
  <si>
    <t>Fairholm Developments Ltd</t>
  </si>
  <si>
    <t>Erection of single new dwellings (C3) with associated cycle storage, bin storage and garden.</t>
  </si>
  <si>
    <t>Zoe Raygen validating / Katie McDonald</t>
  </si>
  <si>
    <t>S62A/2025/0125 (LPA Ref: 25/14098/PINS)</t>
  </si>
  <si>
    <t xml:space="preserve">16 Elmgrove Road, Bristol, BS16 2AX </t>
  </si>
  <si>
    <t>AA Lee Property Services</t>
  </si>
  <si>
    <t>Change of use to a small house in multiple occupation</t>
  </si>
  <si>
    <t>Not CIL Liable 19/09/2025</t>
  </si>
  <si>
    <t>ARSV 10.00am 09/12/2025</t>
  </si>
  <si>
    <t>S62A/2025/0132 (LPA Ref:25/14638/PINS )</t>
  </si>
  <si>
    <t xml:space="preserve">Works to install 9 no. Floodlight columns around the MUGA and AW pitches at Cotham School. </t>
  </si>
  <si>
    <t>Dominic Young validating / Claire Shearing</t>
  </si>
  <si>
    <t>Not CIL Liable 22/10/2025</t>
  </si>
  <si>
    <t>12/11/2025 TMP Ref 531322</t>
  </si>
  <si>
    <t>ARSV 12.00 to 14.00 4 December 2025</t>
  </si>
  <si>
    <t>S62A/2025/0130 (LPA Ref: 25/14447/PINS)</t>
  </si>
  <si>
    <t xml:space="preserve">Erection of a second-floor extension to the above property, and the change of use to 5no. HMOs, and ancillary storage area. </t>
  </si>
  <si>
    <t>Dominic Young validating / Jack Hobbs</t>
  </si>
  <si>
    <r>
      <t>£23,826.56.</t>
    </r>
    <r>
      <rPr>
        <sz val="11"/>
        <color theme="1"/>
        <rFont val="Aptos"/>
        <family val="2"/>
      </rPr>
      <t xml:space="preserve"> </t>
    </r>
  </si>
  <si>
    <t>USV</t>
  </si>
  <si>
    <t>resubmission of 0090</t>
  </si>
  <si>
    <t>S62A/2025/0131 (LPA Ref: 25/14593/PINS)</t>
  </si>
  <si>
    <t>Land on South West side of Strathmore Road, Horfield, Bristol, BS7 9QQ - adjacent to No.13</t>
  </si>
  <si>
    <t>Martin Thomas</t>
  </si>
  <si>
    <t>nicola.dea@icloud.com</t>
  </si>
  <si>
    <t>1 bed, 2 person dwelling in place of vacant/barren land</t>
  </si>
  <si>
    <t>CIL liability will not (and indeed cannot) be calculated until such time as Reserved Matters applications are submitted.</t>
  </si>
  <si>
    <t>ARSV 12.30 to 14.30 11 December 2025</t>
  </si>
  <si>
    <t>S62A/2025/0134 (LPA Ref: 25/14748/PINS)</t>
  </si>
  <si>
    <t>Demolition of the rear annexe and delivery of 4 terrace PBSA houses with associated landscaping and other works</t>
  </si>
  <si>
    <t>Sarah</t>
  </si>
  <si>
    <r>
      <t xml:space="preserve">If a permission were to be granted in </t>
    </r>
    <r>
      <rPr>
        <b/>
        <sz val="10"/>
        <color theme="1"/>
        <rFont val="Arial"/>
        <family val="2"/>
      </rPr>
      <t>2025</t>
    </r>
    <r>
      <rPr>
        <sz val="10"/>
        <color theme="1"/>
        <rFont val="Arial"/>
        <family val="2"/>
      </rPr>
      <t xml:space="preserve">
117.2sqm x £100/sqm x (391 / 224 indexation factor) = £20,457.68 .  If a permission were to be granted in </t>
    </r>
    <r>
      <rPr>
        <b/>
        <sz val="10"/>
        <color theme="1"/>
        <rFont val="Arial"/>
        <family val="2"/>
      </rPr>
      <t>2026</t>
    </r>
    <r>
      <rPr>
        <sz val="10"/>
        <color theme="1"/>
        <rFont val="Arial"/>
        <family val="2"/>
      </rPr>
      <t xml:space="preserve">
117.2sqm x £100/sqm x (400 / 224 indexation factor) = £20,928.57</t>
    </r>
  </si>
  <si>
    <t>ARSV 11.00 to 13.00 4 December 2025</t>
  </si>
  <si>
    <t>BNG exemption claimed. De minimis. No NPPF</t>
  </si>
  <si>
    <t>S62A/2025/0135 (LPA Ref: 25/14765/PINS)</t>
  </si>
  <si>
    <t>Mr Harry Cockram</t>
  </si>
  <si>
    <t>£51,755.13 (see email re 2026 increase(</t>
  </si>
  <si>
    <t>ARSV 11am 2 January 2026</t>
  </si>
  <si>
    <t>S62A/2025/0136 (LPA Ref: 25/14769/PINS)</t>
  </si>
  <si>
    <t>357 Filton Avenue, Bristol BS7 0BD</t>
  </si>
  <si>
    <t>residential amenity, neighbour amenity</t>
  </si>
  <si>
    <t>Mr &amp; Mrs Harpreet and Harrminder Sehmbi and Kaur
Sehmbi</t>
  </si>
  <si>
    <t>Erection of a first floor side extension to existing first floor flat. Partial demolition of rear extensions, to facilitate the
change of use of part of the ground floor to a takeaway (sui
generis), and part of the ground and first floors to a 6-
bedroom HMO (C4 Use Class), including a new extract flue
for takeaway (resubmission of planning application
24/03459/F).</t>
  </si>
  <si>
    <t>Not CIL Liable 31/10/2025</t>
  </si>
  <si>
    <t>ARSV 12pm 2 January 2026</t>
  </si>
  <si>
    <t>S62A/2025/0133 (LPA Ref: 25/14649/PINS)</t>
  </si>
  <si>
    <t>Stoke Lodge Playing Fields, West Dene, Shirehampton Bristol, BS9 2BH</t>
  </si>
  <si>
    <t>james.newton@rapleys.com</t>
  </si>
  <si>
    <t>Works to install 8no. CCTV poles and cameras</t>
  </si>
  <si>
    <t>Not CIL Liable 23/10/2025</t>
  </si>
  <si>
    <t>03/12/2025 TMP ref 532531</t>
  </si>
  <si>
    <t>ARSV 13.00 to 15.00 4 December 2025</t>
  </si>
  <si>
    <t>BNG condition if approved. No NPPF</t>
  </si>
  <si>
    <t>S62A/2025/0138 (LPA Ref: 25/14959/PINS)</t>
  </si>
  <si>
    <t>26 Sturdon Road, Bristol BS3 2BA</t>
  </si>
  <si>
    <t>Bristol Design Properties</t>
  </si>
  <si>
    <t>Change of use from C3 dwellinghouse to a C4 small dwellinghouse in multiple occupation, including erection of bin and bike storage.</t>
  </si>
  <si>
    <t>Cullum Parker validated / Owen Woodwards</t>
  </si>
  <si>
    <t>Not CIL Liable 11/11/2025</t>
  </si>
  <si>
    <t>ARSV 12.00 to 14.00 19 December 2025</t>
  </si>
  <si>
    <t>S62A/2025/0143 (LPA Ref: 25/15245/PINS )</t>
  </si>
  <si>
    <t xml:space="preserve">36 Hampton Park, Bristol BS6 6LH </t>
  </si>
  <si>
    <t xml:space="preserve">Mr Rod Bendle </t>
  </si>
  <si>
    <t>Erection of detached dwelling in rear garden, including erection of bin and bike storage.</t>
  </si>
  <si>
    <t xml:space="preserve">Katie McDonald </t>
  </si>
  <si>
    <t>CIL Liabe</t>
  </si>
  <si>
    <t>17/12/2025 TMP ref 533539</t>
  </si>
  <si>
    <t>S62A/2025/0129 (LPA Ref: 25/14342/PINS )</t>
  </si>
  <si>
    <t>Second Floor Flat 224 Bath Road, Totterdown, Bristol, BS4 3EQ</t>
  </si>
  <si>
    <t>Ross Caltabiano.</t>
  </si>
  <si>
    <t>kevin.morley@stokesmorgan.co.uk</t>
  </si>
  <si>
    <t>Change of use of top floor maisonette into a House in Multiple Occupation (Use Class C4) with rear roof extension and associated works</t>
  </si>
  <si>
    <t>Scott Wilson (APO) / Katie McDonald</t>
  </si>
  <si>
    <t>Not CIL liable 02/10/2025</t>
  </si>
  <si>
    <t>ARSV  19 December 2025</t>
  </si>
  <si>
    <t>S62A/2025/0142 (LPA Ref: 25/15234/PINS)</t>
  </si>
  <si>
    <t>76a Savoy Road, Bristol, BS4 3SY</t>
  </si>
  <si>
    <t>Erection of a first floor extension, ground floor rear extension and internal alterations to facilitate the change of use of the property from a 5-bedroom House in Multiple Occupation (HMO) to a 8- bedroom House in Multiple Occupation (HMO) (Use Class Sui Generis)</t>
  </si>
  <si>
    <t>Not CIL liable 02/12/2025</t>
  </si>
  <si>
    <t>S62A/2025/0140 (LPA Ref: 25/15167/PINS)</t>
  </si>
  <si>
    <t>33 Brockworth Crescent, Stapleton, Bristol. BS16 1HQ.</t>
  </si>
  <si>
    <t>David Holliday (Lodgeway Properties Ltd</t>
  </si>
  <si>
    <t>Change of use of small House in Multiple Occupation (Use Class C4) to a large House in Multiple Occupation for up to 8no. occupants (sui generis), with associated cycle storage.</t>
  </si>
  <si>
    <t>24/12/2025 TMP ref 533739</t>
  </si>
  <si>
    <t>S62A/2025/0139 (LPA Ref: 25/14981/PINS )</t>
  </si>
  <si>
    <t>Castle House, Brentry Avenue, Bristol BS5 0DL</t>
  </si>
  <si>
    <t>Evans AV Staging Ltd</t>
  </si>
  <si>
    <t>Part demolition of building and erection of a second floor extension, to provide 8no. self-contained flats</t>
  </si>
  <si>
    <t>Owen Woodwards validating / Katie McDonald</t>
  </si>
  <si>
    <r>
      <rPr>
        <sz val="10"/>
        <color rgb="FF000000"/>
        <rFont val="Arial"/>
        <family val="2"/>
      </rPr>
      <t xml:space="preserve">S62A/2025/0137 (LPA Ref: 25/14937/PINS ) </t>
    </r>
    <r>
      <rPr>
        <sz val="10"/>
        <color rgb="FFFF0000"/>
        <rFont val="Arial"/>
        <family val="2"/>
      </rPr>
      <t>Matt</t>
    </r>
  </si>
  <si>
    <t>former Natwest bank at 72-74 Gloucester Road,BS7 8BF</t>
  </si>
  <si>
    <t>Mr C Honor, Honor Properties Ltd</t>
  </si>
  <si>
    <t>Partial change of use of Class E commercial unit to a Class C1 apart-hotel with 9no. serviced apartments, demolition of rear extension, replacement extension, external alterations and provision of refuse and cycle storage</t>
  </si>
  <si>
    <t>Matt</t>
  </si>
  <si>
    <t>24/12/2025 / 05/01/2026 / 08/01/2026</t>
  </si>
  <si>
    <t>03/12/2025 TMP ref 532575</t>
  </si>
  <si>
    <t>ARSV 11.00 to 13.00 19 December 2025</t>
  </si>
  <si>
    <t>BNG exemption claimed. De minimis. DL issed late due to delays in site notice &amp; admin delays</t>
  </si>
  <si>
    <t>S62A/2026/0152 (LPA Ref: 26/10124/PINS)</t>
  </si>
  <si>
    <t xml:space="preserve">Colston Villas, 23 Horfield Road, BS2 8EA. </t>
  </si>
  <si>
    <t xml:space="preserve">Brymain Investments Ltd </t>
  </si>
  <si>
    <t>within 2 weeks</t>
  </si>
  <si>
    <t>change of use from Use Class C3 (dwellinghouses) to Class C4 (small Houses in Multiple Occupation), with associated provision for car parking, refuse, and cycle storage.</t>
  </si>
  <si>
    <t>Michael Boniface validating</t>
  </si>
  <si>
    <t>£580.00 rec 27/01/2026. £8.00 rec 28/01/2026</t>
  </si>
  <si>
    <t>Heritage Assessment to go to LPA</t>
  </si>
  <si>
    <t>Not CIL liable 13/01/2026</t>
  </si>
  <si>
    <t>r t</t>
  </si>
  <si>
    <t>Due to Bristol being dedesignated on 27 January, PINS does not have jurisdiction to determine this application. Returned to applicant</t>
  </si>
  <si>
    <t>S62A/2026/0153 (LPA Ref: )</t>
  </si>
  <si>
    <t xml:space="preserve">8 Durdham Park, Westbury Park, Bristol BS6 6XA </t>
  </si>
  <si>
    <t>Jayne.Harding@aspect360.co.uk</t>
  </si>
  <si>
    <t>The applicant is seeking planning permission for a change of use from Use Class F1(a) (school) to 7no. flats and a self-contained dwelling (Class C3), with associated provision for car parking, refuse, and cycle storage.</t>
  </si>
  <si>
    <t>requested 29/01</t>
  </si>
  <si>
    <t>Not CIL liable 26/01/2026</t>
  </si>
  <si>
    <t>S62A/2025/0141 (LPA Ref: 25/15180/PINS)</t>
  </si>
  <si>
    <t>16-18 Cherry Lane, Kingsdown, Bristol, BS1 3NG</t>
  </si>
  <si>
    <t>Longacre Cherry Lane Limited</t>
  </si>
  <si>
    <t>Change of Use of the ground floor retail unit to 1 no. residential flat</t>
  </si>
  <si>
    <t>Katie McDonald validating / Owen Woodwards</t>
  </si>
  <si>
    <t>Not CIL liable 01/12/2025</t>
  </si>
  <si>
    <t>14/01/2026 TMP ref 534370</t>
  </si>
  <si>
    <t>USV 14 January 2026</t>
  </si>
  <si>
    <t>S62A/2025/0144 (LPA Ref: 25/15450/PINS)</t>
  </si>
  <si>
    <t>No.115 Hampton Road, Bristol, BS6 6JG</t>
  </si>
  <si>
    <t>Penlane Ltd</t>
  </si>
  <si>
    <t>Change of use - Conversion of part of existing domestic garage (use class c3) to maintenance office base (use class E(G)), Including retention of existing-cycle store and associated external alterations</t>
  </si>
  <si>
    <t>Katie McDonald validating / Benjamin Webb</t>
  </si>
  <si>
    <t>Never receved</t>
  </si>
  <si>
    <t>Not CIL liable 15/12/2025</t>
  </si>
  <si>
    <t>14/01/2026 TMP ref 534490</t>
  </si>
  <si>
    <t>USV 04/02/2026</t>
  </si>
  <si>
    <t>S62A/2025/0145 (LPA Ref: 25/15507/PINS)</t>
  </si>
  <si>
    <t>33 Brockworth Crescent, Stapleton, Bristol. BS16 1HQ</t>
  </si>
  <si>
    <t>Lodgeway Properties Limited (Company No. 10607647).</t>
  </si>
  <si>
    <t>30/09/2025 &amp; 20/11/2025</t>
  </si>
  <si>
    <t>15/10/2025 &amp; 05/12/2025</t>
  </si>
  <si>
    <t>Change of use of existing small House in Multiple Occupation (Use Class C4) to a large House in Multiple Occupation for up to 8no. occupants (sui generis), with associated bin and bike storage</t>
  </si>
  <si>
    <t>Hayley Butcher validating / Benjamin Webb</t>
  </si>
  <si>
    <t>Not CIL liable 18/12/2025</t>
  </si>
  <si>
    <t>S62A/2025/0147 (LPA Ref: 25/15560/PINS )</t>
  </si>
  <si>
    <t>374 Southmead Road, Bristol BS10 5LP</t>
  </si>
  <si>
    <t>Erection of a two-storey building comprising 2no. self-contained flats</t>
  </si>
  <si>
    <t>George Baird validating/ Nichola Robinson</t>
  </si>
  <si>
    <t>17/02/2026 10.30am</t>
  </si>
  <si>
    <t>S62A/2025/0149 (LPA Ref: 25/15627/PINS)</t>
  </si>
  <si>
    <t>703 Fishponds Road, Bristol BS16 3UH</t>
  </si>
  <si>
    <t xml:space="preserve">Jesey Kaur </t>
  </si>
  <si>
    <t>Rear extension and change of use from takeaway (sui generis) to bar with seating area, office and small kitchen (sui generis). (resubmission of planning application 24/01813/F)</t>
  </si>
  <si>
    <t>George Baird validating / Benjamin Webb</t>
  </si>
  <si>
    <t>Not CIL liable 24/12/2025</t>
  </si>
  <si>
    <t>15/010/2026</t>
  </si>
  <si>
    <t>21/01/2026 TMP Ref: 535193</t>
  </si>
  <si>
    <t>S62A/2025/0148 (LPA Ref: 25/15620/PINS)</t>
  </si>
  <si>
    <t>The Landing, 125 Redcliff Street, Redcliffe, Bristol, BS1 6HU</t>
  </si>
  <si>
    <t>External alterations to ground floor entrance area, including the installation of a new shopfront and timber hand rails, and the raising of floor levels</t>
  </si>
  <si>
    <t xml:space="preserve">George Baird validating / Heather Faulkner </t>
  </si>
  <si>
    <t>28/01/2026 TMP 535510</t>
  </si>
  <si>
    <t>Owen</t>
  </si>
  <si>
    <t>BNG exemption claimed. De minimis. Missed DL target due to using last cases for new Insps in training</t>
  </si>
  <si>
    <t>S62A/2025/0151 (LPA Ref: 26/10034/PINS)</t>
  </si>
  <si>
    <t>15 Sterncourt Road, Bristol BS16 1LB</t>
  </si>
  <si>
    <t>Imperial Developments (Bristol) Ltd</t>
  </si>
  <si>
    <t>Erection of an attached dwellinghouse (self-build)</t>
  </si>
  <si>
    <t xml:space="preserve">George Baird validating / Alec Hickey </t>
  </si>
  <si>
    <t>28/01/2026 TMP 535508</t>
  </si>
  <si>
    <t>App comments invited on late LPA Q</t>
  </si>
  <si>
    <t>BNG exemption claimed. Self build. Delay to confirming procedure due to Insp training and late Q sub from LPA. Missed DL target due to using last cases for new Insps in training</t>
  </si>
  <si>
    <t>S62A/2025/0150 (LPA Ref: 26/10006/PINS)</t>
  </si>
  <si>
    <t>265 Church Road, Bristol BS5 9HT</t>
  </si>
  <si>
    <t>McGowan Hayes Property Ltd</t>
  </si>
  <si>
    <t>Erection of a second floor roof extension, demolition and rebuilding of a single storey rear extension,  and change of use of upper floors from ancillary commercial space to a large 8-bed HMO. New shopfronts to retained ground floor commercial units.</t>
  </si>
  <si>
    <r>
      <t xml:space="preserve">George Baird validating / </t>
    </r>
    <r>
      <rPr>
        <strike/>
        <sz val="10"/>
        <color theme="1"/>
        <rFont val="Arial"/>
        <family val="2"/>
      </rPr>
      <t xml:space="preserve">Owen Woodwards </t>
    </r>
    <r>
      <rPr>
        <sz val="10"/>
        <color theme="1"/>
        <rFont val="Arial"/>
        <family val="2"/>
      </rPr>
      <t>/ Alec Hickey</t>
    </r>
  </si>
  <si>
    <t>??</t>
  </si>
  <si>
    <r>
      <rPr>
        <strike/>
        <sz val="10"/>
        <color theme="1"/>
        <rFont val="Arial"/>
        <family val="2"/>
      </rPr>
      <t>09/03/2026</t>
    </r>
    <r>
      <rPr>
        <sz val="10"/>
        <color theme="1"/>
        <rFont val="Arial"/>
        <family val="2"/>
      </rPr>
      <t xml:space="preserve"> 18/03/2026 9.30am to 11.30am</t>
    </r>
  </si>
  <si>
    <t>Cullum</t>
  </si>
  <si>
    <t>BNG exemption claimed. De minimis. Missed DL target due to late information and my failure to ask for an EoT. LP</t>
  </si>
  <si>
    <t xml:space="preserve"> Land on the west side of Cherry Hill, Chiswell Green, St Albans </t>
  </si>
  <si>
    <t>James Hammond  jthammond1981@gmail.com</t>
  </si>
  <si>
    <t>Outline with all matters reserved</t>
  </si>
  <si>
    <t>w/c 8 April 2024</t>
  </si>
  <si>
    <t>Outline application (all matters reserved) for 9 serviced plots for Self and Custom House housebuilding</t>
  </si>
  <si>
    <t>15-29 Union Street</t>
  </si>
  <si>
    <t>charlie@planware.co.uk</t>
  </si>
  <si>
    <t>External alterations to 15-29 Union Street, including shopfront alterations and associated works</t>
  </si>
  <si>
    <t>Land at House Lane, Sandridge</t>
  </si>
  <si>
    <t>Sandridge House</t>
  </si>
  <si>
    <t>sandridgehouse@engineer.com</t>
  </si>
  <si>
    <t>OL (all matters reserved)</t>
  </si>
  <si>
    <t>Residential development at the site</t>
  </si>
  <si>
    <t>173-175 St Johns Lane, Bristol BS3 5AG</t>
  </si>
  <si>
    <t>Dhillon Patel</t>
  </si>
  <si>
    <t>Change of use of ground floor retail unit to. 2no. self-contained, flats, and sub-division of existing maisonette into 3no. self-contained flats, including 2no. rear dormer roof extensions, 5nol rear rooflights, infilling of existing shopfront, and partial demolition of rear storage area</t>
  </si>
  <si>
    <t>Chasefield House, 888 Fishponds Road, Fishponds, Bristol BS16 3XB</t>
  </si>
  <si>
    <t>Has 7 Ltd</t>
  </si>
  <si>
    <t>Full Planning and Conservation Area Consent (Demolition)</t>
  </si>
  <si>
    <t>Demolition of existing buildings and structures, and redevelopment of site to provide 5no. dwellings with associated access improvements; parking; hard/soft landscape works and drainage</t>
  </si>
  <si>
    <t xml:space="preserve">Land on South West side of Strathmore Road, Horfield, Bristol, BS7 9QQ </t>
  </si>
  <si>
    <t xml:space="preserve">Eloise Grace </t>
  </si>
  <si>
    <t>charlottethomas2002@hotmail.co.uk</t>
  </si>
  <si>
    <t>1 bed, 2 person dwelling in place of existing vacant/barren land</t>
  </si>
  <si>
    <t>61 Arbutus Drive, Bristol BS9 2PW</t>
  </si>
  <si>
    <t>Neighborhood objections. While it is possible that neighbors may object to the proposal, we are confident that the proposed design does not cause substantial impact on neighboring properties, nor does it go against any national or local planning policy</t>
  </si>
  <si>
    <t>Agrippa Architectural Services</t>
  </si>
  <si>
    <t>mark.newman@agrippaarchitectural.com</t>
  </si>
  <si>
    <t>A two bedroom dwelling house in the rear garden of the property with a total internal floor area of 85 square meters</t>
  </si>
  <si>
    <t>31 Alexandra Park, Redland, BS6 6QB</t>
  </si>
  <si>
    <t>ben@dexterdesigns.co.uk</t>
  </si>
  <si>
    <t xml:space="preserve">change of use from an HMO (Sui Generis) to a single dwelling (C3) </t>
  </si>
  <si>
    <t>Land Adjacent 1 The Cats Whiskers, Oaklands Lane, Smallford, St Albans, AL4 0HR</t>
  </si>
  <si>
    <t>Whether the proposed development is inappropriate development in the Green Belt</t>
  </si>
  <si>
    <t>Mr John Cousins, YYJS Limited</t>
  </si>
  <si>
    <t>tom@petergeorgetownplanning.com</t>
  </si>
  <si>
    <t>Erection of four dwellings following the demolition of all existing structures and hardstanding</t>
  </si>
  <si>
    <t>One Portwall Square
Portwall Lane
Redcliffe
Bristol 
BS1 6BH</t>
  </si>
  <si>
    <t>Loss of parking spaces within the ground floor car park; flood risk; and introduction of a gym within the building</t>
  </si>
  <si>
    <t xml:space="preserve">Nord Bristol JV </t>
  </si>
  <si>
    <t>Creation of a gym within the internal ground floor car park</t>
  </si>
  <si>
    <t>138 Bedminster Down Road, Bristol BS13 7AF</t>
  </si>
  <si>
    <t>Gavin Carpenter</t>
  </si>
  <si>
    <t>avecdesign@mail.com</t>
  </si>
  <si>
    <t>Proposed erection of 3 bedroom two storey dwelling</t>
  </si>
  <si>
    <t xml:space="preserve">507 Bath rd, Bristol BS4 3LA. </t>
  </si>
  <si>
    <t>Erection of a rear extension and internal alterations to facilitate the change of use of the property to a 7-bedroom House in Multiple Occupation (HMO) (Use Class Sui Generis)</t>
  </si>
  <si>
    <t>Building 11, Explore Lane, Bristol, BS1 5TY</t>
  </si>
  <si>
    <t>Use of Unit 5 as a flexible commercial units for continued use as a casino (sui generis), and/or for purposes within Use Classe E(a) and/or (b) and/or (d) and/or (g(i)), and/or as a comedy club (sui generis), and/or as a restaurant/drinking establishment with expanded food provision (Use Class E(b)/sui generis) and/or as a cinema (sui generis) and/or as a theatre (sui generis).</t>
  </si>
  <si>
    <t>172 Kingsway, Bristol BS5 8NX</t>
  </si>
  <si>
    <t>RV Property Developments Ltd</t>
  </si>
  <si>
    <t>Erection of a pair of semi-detached dwelling houses</t>
  </si>
  <si>
    <t>Giant Goram, Barrowmead Drive, Bristol, BS11 0JT</t>
  </si>
  <si>
    <t>Diverse Leisure Ltd.</t>
  </si>
  <si>
    <t>mark@mwaplanning.co.uk</t>
  </si>
  <si>
    <t>REFURBISHMENT, RENOVATION AND PARTIAL DEMOLITION OF GROUND FLOOR OUTBUILDING TO ENABLE BUILDING TO BE USED AS A  PUBLIC  HOUSE  (SUI  GENERIS), CONVERSION  OF UPPER FLOOR TO 2No FLATS (CLASS C3), ERECTION OF 7No DWELLINGS (CLASS C3)  COMPRISING 3No. HOUSES AND 4No. FLATS, PROVISION OF ON SITE CAR PARKING, LANDSCAPING, BIODIVERSITY ENHANCEMENT AND BICYCLE STORE</t>
  </si>
  <si>
    <t>Ref</t>
  </si>
  <si>
    <t>Invoice number</t>
  </si>
  <si>
    <t>TMP Ref</t>
  </si>
  <si>
    <t>Invoice date</t>
  </si>
  <si>
    <t>TMP Amount (not including VAT)</t>
  </si>
  <si>
    <t>Line 10 Balance</t>
  </si>
  <si>
    <t>ACIP approved</t>
  </si>
  <si>
    <t>2022/23</t>
  </si>
  <si>
    <t>S62A/22/0000002</t>
  </si>
  <si>
    <t>S62A/22/0000004</t>
  </si>
  <si>
    <t xml:space="preserve">S62A/22/0005 </t>
  </si>
  <si>
    <t xml:space="preserve">S62A/22/0006 </t>
  </si>
  <si>
    <t>S62A/22/0007</t>
  </si>
  <si>
    <t>S62A/2022/0011</t>
  </si>
  <si>
    <t>S62A/2022/0012</t>
  </si>
  <si>
    <t>S62A/2022/0014</t>
  </si>
  <si>
    <t xml:space="preserve">S62A/2023/0015 </t>
  </si>
  <si>
    <t>S62A/2023/0016</t>
  </si>
  <si>
    <t>2023/24</t>
  </si>
  <si>
    <t>S62A/2023/0017</t>
  </si>
  <si>
    <t>S62A/2023/0018</t>
  </si>
  <si>
    <t>S62A/2023/0019</t>
  </si>
  <si>
    <t>S62A/2023/0021</t>
  </si>
  <si>
    <t>S62A/2023/0022</t>
  </si>
  <si>
    <t>Revised balance 17/10/23</t>
  </si>
  <si>
    <t>S62A/2023/0023</t>
  </si>
  <si>
    <t>S62A/2023/0025</t>
  </si>
  <si>
    <t>S62A/2023/0026</t>
  </si>
  <si>
    <t>S62A/2023/0027</t>
  </si>
  <si>
    <t>S62A/2023/0028</t>
  </si>
  <si>
    <t>S62A/22/0006RD</t>
  </si>
  <si>
    <t>S62A/2023/0029</t>
  </si>
  <si>
    <t>withdrawn</t>
  </si>
  <si>
    <t>S62A/2023/0030</t>
  </si>
  <si>
    <t>S62A/2023/0031</t>
  </si>
  <si>
    <t>Revised balance 18/1/24 (£10,000 added to top up balance)</t>
  </si>
  <si>
    <t>S62A/2024/0032</t>
  </si>
  <si>
    <t>S62A/2024/0039</t>
  </si>
  <si>
    <t>S62A/2024/0040</t>
  </si>
  <si>
    <t>Revised balance 16/5/24 (new PO 4710005086 Line 2)</t>
  </si>
  <si>
    <t>S62A/2024/0034</t>
  </si>
  <si>
    <t>S62A/2024/0045</t>
  </si>
  <si>
    <t>S62A/2024/0047</t>
  </si>
  <si>
    <t>S62A/2024/0049</t>
  </si>
  <si>
    <t>26/7/24 (Dunmow Broadcast £273.73) &amp; 30/7/24 (Saffron Walden reporter £273.13)</t>
  </si>
  <si>
    <t>S62A/2024/0046</t>
  </si>
  <si>
    <t>S62A/2024/0051</t>
  </si>
  <si>
    <t>S62A/2024/0055</t>
  </si>
  <si>
    <t>S62A/2024/0053</t>
  </si>
  <si>
    <t>S62A/2024/0057</t>
  </si>
  <si>
    <t>29/08/024</t>
  </si>
  <si>
    <t>S62A/2024/0058</t>
  </si>
  <si>
    <t>S62A/2024/0059</t>
  </si>
  <si>
    <t>S62A/2024/0063</t>
  </si>
  <si>
    <t>S62A/2024/0065</t>
  </si>
  <si>
    <t>S62A/2024/0069</t>
  </si>
  <si>
    <t>S62A/2023/0019RD</t>
  </si>
  <si>
    <t>S62A/2024/0073</t>
  </si>
  <si>
    <t>S62A/2024/0075</t>
  </si>
  <si>
    <t>S62A/2025/0077</t>
  </si>
  <si>
    <t>S62A/2025/0080</t>
  </si>
  <si>
    <t>S62A/2025/0085</t>
  </si>
  <si>
    <t>S62A/2025/0082</t>
  </si>
  <si>
    <t>S62A/2025/0088</t>
  </si>
  <si>
    <t>S62A/2025/0094</t>
  </si>
  <si>
    <t>S62A/2025/0087</t>
  </si>
  <si>
    <t>S62A/2025/0101</t>
  </si>
  <si>
    <t>S62A/2025/0097</t>
  </si>
  <si>
    <t>S62A/2025/0102</t>
  </si>
  <si>
    <t>Revised balance 28/5/25 (new PO 4710007580) (For Crown Apps too)</t>
  </si>
  <si>
    <t>S62A/2025/0103</t>
  </si>
  <si>
    <t>S62A/2025/0104</t>
  </si>
  <si>
    <t>S62A/2025/0105</t>
  </si>
  <si>
    <t>S62A/2025/0106</t>
  </si>
  <si>
    <t>S62A/2025/0107</t>
  </si>
  <si>
    <t>S62A/2025/0108</t>
  </si>
  <si>
    <t>S62A/2025/0110</t>
  </si>
  <si>
    <t>S62A/2025/0111</t>
  </si>
  <si>
    <t xml:space="preserve">CROWN/2025/0000002 </t>
  </si>
  <si>
    <t>S62A/2025/0113</t>
  </si>
  <si>
    <t>S62A/2025/0115</t>
  </si>
  <si>
    <t>S62A/2025/0118</t>
  </si>
  <si>
    <t>S62A/2025/0126</t>
  </si>
  <si>
    <t>S62A/2025/0132</t>
  </si>
  <si>
    <t>S62A/2025/0133</t>
  </si>
  <si>
    <t>S62A/2025/0137</t>
  </si>
  <si>
    <t>S62A/2025/0143</t>
  </si>
  <si>
    <t>S62A/2025/0140</t>
  </si>
  <si>
    <t>S62A/2025/0141</t>
  </si>
  <si>
    <t>S62A/2025/0144</t>
  </si>
  <si>
    <t>S62A/2025/0149</t>
  </si>
  <si>
    <t>S62A/2025/0151</t>
  </si>
  <si>
    <t>S62A/2025/0148</t>
  </si>
  <si>
    <t xml:space="preserve">  </t>
  </si>
  <si>
    <t>Revised balance 01/04/2025 + £5,000.00</t>
  </si>
  <si>
    <t>Non Major</t>
  </si>
  <si>
    <t>Applicant with agent</t>
  </si>
  <si>
    <t>applicant without agent</t>
  </si>
  <si>
    <t>Major</t>
  </si>
  <si>
    <t>All</t>
  </si>
  <si>
    <t>Applicants with agent</t>
  </si>
  <si>
    <t>Applicants without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</si>
</sst>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Red]\-&quot;£&quot;#,##0"/>
    <numFmt numFmtId="165" formatCode="&quot;£&quot;#,##0.00;[Red]\-&quot;£&quot;#,##0.00"/>
    <numFmt numFmtId="166" formatCode="d\-mmm\-yy"/>
    <numFmt numFmtId="167" formatCode="[$-F800]dddd\,\ mmmm\ dd\,\ yyyy"/>
    <numFmt numFmtId="168" formatCode="[$-809]d\ mmmm\ yyyy;@"/>
    <numFmt numFmtId="169" formatCode="&quot;£&quot;#,##0.00"/>
    <numFmt numFmtId="170" formatCode="[$-809]dd\ mmmm\ yyyy;@"/>
  </numFmts>
  <fonts count="46" x14ac:knownFonts="1">
    <font>
      <sz val="11"/>
      <color theme="1"/>
      <name val="Calibri"/>
      <family val="2"/>
      <scheme val="minor"/>
    </font>
    <font>
      <sz val="11"/>
      <color theme="1"/>
      <name val="Arial"/>
      <family val="2"/>
    </font>
    <font>
      <b/>
      <sz val="10"/>
      <name val="Arial"/>
      <family val="2"/>
    </font>
    <font>
      <sz val="10"/>
      <name val="Arial"/>
      <family val="2"/>
    </font>
    <font>
      <sz val="11"/>
      <color rgb="FF00B050"/>
      <name val="Arial"/>
      <family val="2"/>
    </font>
    <font>
      <sz val="9"/>
      <color indexed="81"/>
      <name val="Tahoma"/>
      <family val="2"/>
    </font>
    <font>
      <b/>
      <sz val="9"/>
      <color indexed="81"/>
      <name val="Tahoma"/>
      <family val="2"/>
    </font>
    <font>
      <b/>
      <sz val="11"/>
      <color theme="1"/>
      <name val="Arial"/>
      <family val="2"/>
    </font>
    <font>
      <sz val="11"/>
      <name val="Arial"/>
      <family val="2"/>
    </font>
    <font>
      <b/>
      <sz val="11"/>
      <name val="Arial"/>
      <family val="2"/>
    </font>
    <font>
      <b/>
      <sz val="11"/>
      <color rgb="FF00B050"/>
      <name val="Arial"/>
      <family val="2"/>
    </font>
    <font>
      <sz val="10"/>
      <color theme="1"/>
      <name val="Arial"/>
      <family val="2"/>
    </font>
    <font>
      <u/>
      <sz val="11"/>
      <color theme="10"/>
      <name val="Calibri"/>
      <family val="2"/>
      <scheme val="minor"/>
    </font>
    <font>
      <u/>
      <sz val="11"/>
      <color theme="10"/>
      <name val="Arial"/>
      <family val="2"/>
    </font>
    <font>
      <sz val="11"/>
      <color rgb="FF000000"/>
      <name val="Arial"/>
      <family val="2"/>
    </font>
    <font>
      <strike/>
      <sz val="11"/>
      <color theme="1"/>
      <name val="Arial"/>
      <family val="2"/>
    </font>
    <font>
      <sz val="11"/>
      <color rgb="FF000000"/>
      <name val="Futura Bk BT"/>
    </font>
    <font>
      <sz val="11"/>
      <color rgb="FFFF0000"/>
      <name val="Arial"/>
      <family val="2"/>
    </font>
    <font>
      <sz val="11"/>
      <color rgb="FF000000"/>
      <name val="Verdana"/>
      <family val="2"/>
    </font>
    <font>
      <b/>
      <sz val="10"/>
      <color theme="1"/>
      <name val="Verdana"/>
      <family val="2"/>
    </font>
    <font>
      <sz val="10"/>
      <color theme="1"/>
      <name val="Verdana"/>
      <family val="2"/>
    </font>
    <font>
      <sz val="10.5"/>
      <color theme="1"/>
      <name val="Century Gothic"/>
      <family val="2"/>
    </font>
    <font>
      <sz val="11"/>
      <color theme="4"/>
      <name val="Arial"/>
      <family val="2"/>
    </font>
    <font>
      <b/>
      <sz val="11"/>
      <color theme="1"/>
      <name val="Verdana"/>
      <family val="2"/>
    </font>
    <font>
      <sz val="11"/>
      <color theme="1"/>
      <name val="Verdana"/>
      <family val="2"/>
    </font>
    <font>
      <sz val="8"/>
      <name val="Calibri"/>
      <family val="2"/>
      <scheme val="minor"/>
    </font>
    <font>
      <b/>
      <sz val="11"/>
      <color rgb="FFFF0000"/>
      <name val="Arial"/>
      <family val="2"/>
    </font>
    <font>
      <i/>
      <sz val="11"/>
      <color theme="1"/>
      <name val="Arial"/>
      <family val="2"/>
    </font>
    <font>
      <b/>
      <sz val="10"/>
      <color theme="1"/>
      <name val="Arial"/>
      <family val="2"/>
    </font>
    <font>
      <sz val="10"/>
      <color rgb="FFFF0000"/>
      <name val="Arial"/>
      <family val="2"/>
    </font>
    <font>
      <strike/>
      <sz val="10"/>
      <color theme="1"/>
      <name val="Arial"/>
      <family val="2"/>
    </font>
    <font>
      <sz val="10"/>
      <color rgb="FF0B0C0C"/>
      <name val="Arial"/>
      <family val="2"/>
    </font>
    <font>
      <b/>
      <sz val="10"/>
      <color rgb="FFFF0000"/>
      <name val="Arial"/>
      <family val="2"/>
    </font>
    <font>
      <u/>
      <sz val="10"/>
      <color theme="10"/>
      <name val="Arial"/>
      <family val="2"/>
    </font>
    <font>
      <sz val="11"/>
      <color theme="1"/>
      <name val="Aptos"/>
      <family val="2"/>
    </font>
    <font>
      <b/>
      <sz val="11"/>
      <color theme="1"/>
      <name val="Aptos"/>
      <family val="2"/>
    </font>
    <font>
      <b/>
      <sz val="10"/>
      <color rgb="FF0B0C0C"/>
      <name val="Arial"/>
      <family val="2"/>
    </font>
    <font>
      <vertAlign val="superscript"/>
      <sz val="11"/>
      <color theme="1"/>
      <name val="Calibri"/>
      <family val="2"/>
      <scheme val="minor"/>
    </font>
    <font>
      <sz val="12"/>
      <color theme="1"/>
      <name val="Aptos"/>
      <family val="2"/>
    </font>
    <font>
      <sz val="10"/>
      <color rgb="FF000000"/>
      <name val="Arial"/>
      <family val="2"/>
    </font>
    <font>
      <b/>
      <u/>
      <sz val="11"/>
      <color theme="1"/>
      <name val="Verdana"/>
      <family val="2"/>
    </font>
    <font>
      <strike/>
      <sz val="11"/>
      <color theme="1"/>
      <name val="Verdana"/>
      <family val="2"/>
    </font>
    <font>
      <b/>
      <sz val="10.5"/>
      <color theme="1"/>
      <name val="Century Gothic"/>
      <family val="2"/>
    </font>
    <font>
      <sz val="10"/>
      <color rgb="FFFF0000"/>
      <name val="Arial"/>
      <family val="2"/>
    </font>
    <font>
      <sz val="10"/>
      <color theme="1"/>
      <name val="Arial"/>
      <family val="2"/>
    </font>
    <font>
      <sz val="11"/>
      <color theme="1"/>
      <name val="Aptos"/>
    </font>
  </fonts>
  <fills count="10">
    <fill>
      <patternFill patternType="none"/>
    </fill>
    <fill>
      <patternFill patternType="gray125"/>
    </fill>
    <fill>
      <patternFill patternType="solid">
        <fgColor indexed="41"/>
        <bgColor indexed="64"/>
      </patternFill>
    </fill>
    <fill>
      <patternFill patternType="solid">
        <fgColor rgb="FFCCFFFF"/>
        <bgColor indexed="64"/>
      </patternFill>
    </fill>
    <fill>
      <patternFill patternType="solid">
        <fgColor rgb="FF00B050"/>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rgb="FFFFC000"/>
        <bgColor indexed="64"/>
      </patternFill>
    </fill>
    <fill>
      <patternFill patternType="solid">
        <fgColor theme="4" tint="0.79998168889431442"/>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indexed="64"/>
      </top>
      <bottom style="thin">
        <color indexed="64"/>
      </bottom>
      <diagonal/>
    </border>
    <border>
      <left style="thin">
        <color indexed="64"/>
      </left>
      <right/>
      <top/>
      <bottom/>
      <diagonal/>
    </border>
    <border>
      <left style="thin">
        <color auto="1"/>
      </left>
      <right style="thin">
        <color auto="1"/>
      </right>
      <top/>
      <bottom/>
      <diagonal/>
    </border>
    <border>
      <left style="thin">
        <color auto="1"/>
      </left>
      <right/>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12" fillId="0" borderId="0" applyNumberFormat="0" applyFill="0" applyBorder="0" applyAlignment="0" applyProtection="0"/>
  </cellStyleXfs>
  <cellXfs count="327">
    <xf numFmtId="0" fontId="0" fillId="0" borderId="0" xfId="0"/>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166" fontId="2" fillId="2" borderId="1" xfId="0" applyNumberFormat="1" applyFont="1" applyFill="1" applyBorder="1" applyAlignment="1">
      <alignment horizontal="left" vertical="top" wrapText="1"/>
    </xf>
    <xf numFmtId="166" fontId="2" fillId="3" borderId="1" xfId="0" applyNumberFormat="1" applyFont="1" applyFill="1" applyBorder="1" applyAlignment="1">
      <alignment horizontal="left" vertical="top" wrapText="1"/>
    </xf>
    <xf numFmtId="0" fontId="1" fillId="0" borderId="0" xfId="0" applyFont="1" applyAlignment="1">
      <alignment horizontal="left" vertical="top"/>
    </xf>
    <xf numFmtId="0" fontId="3" fillId="0" borderId="0" xfId="0" applyFont="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164" fontId="1" fillId="0" borderId="1" xfId="0" applyNumberFormat="1" applyFont="1" applyBorder="1" applyAlignment="1">
      <alignment horizontal="left" vertical="top"/>
    </xf>
    <xf numFmtId="0" fontId="8" fillId="0" borderId="1" xfId="0" applyFont="1" applyBorder="1" applyAlignment="1">
      <alignment horizontal="left" vertical="top" wrapText="1"/>
    </xf>
    <xf numFmtId="0" fontId="11" fillId="0" borderId="1" xfId="0" applyFont="1" applyBorder="1" applyAlignment="1">
      <alignment vertical="top" wrapText="1"/>
    </xf>
    <xf numFmtId="0" fontId="13" fillId="0" borderId="1" xfId="1" applyFont="1" applyBorder="1" applyAlignment="1">
      <alignment horizontal="left" vertical="top" wrapText="1"/>
    </xf>
    <xf numFmtId="165" fontId="14" fillId="0" borderId="1" xfId="0" applyNumberFormat="1" applyFont="1" applyBorder="1" applyAlignment="1">
      <alignment vertical="top"/>
    </xf>
    <xf numFmtId="0" fontId="1" fillId="4" borderId="1" xfId="0" applyFont="1" applyFill="1" applyBorder="1" applyAlignment="1">
      <alignment horizontal="left" vertical="top" wrapText="1"/>
    </xf>
    <xf numFmtId="0" fontId="12" fillId="0" borderId="1" xfId="1" applyBorder="1" applyAlignment="1">
      <alignment horizontal="left" vertical="top" wrapText="1"/>
    </xf>
    <xf numFmtId="2" fontId="2" fillId="2" borderId="1" xfId="0" applyNumberFormat="1" applyFont="1" applyFill="1" applyBorder="1" applyAlignment="1">
      <alignment horizontal="left" vertical="top" wrapText="1"/>
    </xf>
    <xf numFmtId="2" fontId="1" fillId="0" borderId="1" xfId="0" applyNumberFormat="1" applyFont="1" applyBorder="1" applyAlignment="1">
      <alignment horizontal="left" vertical="top"/>
    </xf>
    <xf numFmtId="2" fontId="1" fillId="0" borderId="0" xfId="0" applyNumberFormat="1" applyFont="1" applyAlignment="1">
      <alignment horizontal="left" vertical="top"/>
    </xf>
    <xf numFmtId="0" fontId="1" fillId="0" borderId="0" xfId="0" applyFont="1" applyAlignment="1">
      <alignment horizontal="left" vertical="top" wrapText="1"/>
    </xf>
    <xf numFmtId="0" fontId="1" fillId="5" borderId="1" xfId="0" applyFont="1" applyFill="1" applyBorder="1" applyAlignment="1">
      <alignment vertical="top" wrapText="1"/>
    </xf>
    <xf numFmtId="0" fontId="1" fillId="5" borderId="1" xfId="0" applyFont="1" applyFill="1" applyBorder="1" applyAlignment="1">
      <alignment vertical="top"/>
    </xf>
    <xf numFmtId="0" fontId="1" fillId="5" borderId="1" xfId="0" applyFont="1" applyFill="1" applyBorder="1" applyAlignment="1">
      <alignment horizontal="left" vertical="top" wrapText="1"/>
    </xf>
    <xf numFmtId="0" fontId="1" fillId="5" borderId="1" xfId="0" applyFont="1" applyFill="1" applyBorder="1" applyAlignment="1">
      <alignment horizontal="left" vertical="top"/>
    </xf>
    <xf numFmtId="167" fontId="8" fillId="5" borderId="1" xfId="0" applyNumberFormat="1" applyFont="1" applyFill="1" applyBorder="1" applyAlignment="1">
      <alignment horizontal="left" vertical="top"/>
    </xf>
    <xf numFmtId="164" fontId="1" fillId="5" borderId="1" xfId="0" applyNumberFormat="1" applyFont="1" applyFill="1" applyBorder="1" applyAlignment="1">
      <alignment horizontal="left" vertical="top"/>
    </xf>
    <xf numFmtId="167" fontId="8" fillId="5" borderId="1" xfId="0" applyNumberFormat="1" applyFont="1" applyFill="1" applyBorder="1" applyAlignment="1">
      <alignment horizontal="left" vertical="top" wrapText="1"/>
    </xf>
    <xf numFmtId="0" fontId="8" fillId="5" borderId="1" xfId="0" applyFont="1" applyFill="1" applyBorder="1" applyAlignment="1">
      <alignment horizontal="left" vertical="top" wrapText="1"/>
    </xf>
    <xf numFmtId="168" fontId="9" fillId="5" borderId="1" xfId="0" applyNumberFormat="1" applyFont="1" applyFill="1" applyBorder="1" applyAlignment="1">
      <alignment horizontal="left" vertical="top"/>
    </xf>
    <xf numFmtId="168" fontId="7" fillId="5" borderId="1" xfId="0" applyNumberFormat="1" applyFont="1" applyFill="1" applyBorder="1" applyAlignment="1">
      <alignment horizontal="left" vertical="top"/>
    </xf>
    <xf numFmtId="0" fontId="7" fillId="5" borderId="1" xfId="0" applyFont="1" applyFill="1" applyBorder="1" applyAlignment="1">
      <alignment horizontal="left" vertical="top"/>
    </xf>
    <xf numFmtId="2" fontId="1" fillId="5" borderId="1" xfId="0" applyNumberFormat="1" applyFont="1" applyFill="1" applyBorder="1" applyAlignment="1">
      <alignment horizontal="left" vertical="top"/>
    </xf>
    <xf numFmtId="0" fontId="12" fillId="5" borderId="1" xfId="1" applyFill="1" applyBorder="1" applyAlignment="1">
      <alignment horizontal="left" vertical="top" wrapText="1"/>
    </xf>
    <xf numFmtId="0" fontId="11" fillId="5" borderId="1" xfId="0" applyFont="1" applyFill="1" applyBorder="1" applyAlignment="1">
      <alignment vertical="top" wrapText="1"/>
    </xf>
    <xf numFmtId="14" fontId="1" fillId="5" borderId="1" xfId="0" applyNumberFormat="1" applyFont="1" applyFill="1" applyBorder="1" applyAlignment="1">
      <alignment horizontal="left" vertical="top" wrapText="1"/>
    </xf>
    <xf numFmtId="164" fontId="1" fillId="5" borderId="1" xfId="0" applyNumberFormat="1" applyFont="1" applyFill="1" applyBorder="1" applyAlignment="1">
      <alignment horizontal="left" vertical="top" wrapText="1"/>
    </xf>
    <xf numFmtId="0" fontId="10" fillId="5" borderId="1" xfId="0" applyFont="1" applyFill="1" applyBorder="1" applyAlignment="1">
      <alignment horizontal="left" vertical="top" wrapText="1"/>
    </xf>
    <xf numFmtId="165" fontId="14" fillId="5" borderId="1" xfId="0" applyNumberFormat="1" applyFont="1" applyFill="1" applyBorder="1" applyAlignment="1">
      <alignment vertical="top"/>
    </xf>
    <xf numFmtId="165" fontId="1" fillId="5" borderId="1" xfId="0" applyNumberFormat="1" applyFont="1" applyFill="1" applyBorder="1" applyAlignment="1">
      <alignment horizontal="left" vertical="top"/>
    </xf>
    <xf numFmtId="0" fontId="12" fillId="5" borderId="1" xfId="1" applyFill="1" applyBorder="1" applyAlignment="1">
      <alignment horizontal="left" vertical="top"/>
    </xf>
    <xf numFmtId="0" fontId="1" fillId="5" borderId="3" xfId="0" applyFont="1" applyFill="1" applyBorder="1" applyAlignment="1">
      <alignment horizontal="left" vertical="top" wrapText="1"/>
    </xf>
    <xf numFmtId="0" fontId="11" fillId="5" borderId="0" xfId="0" applyFont="1" applyFill="1" applyAlignment="1">
      <alignment vertical="top" wrapText="1"/>
    </xf>
    <xf numFmtId="0" fontId="1" fillId="5" borderId="0" xfId="0" applyFont="1" applyFill="1" applyAlignment="1">
      <alignment vertical="top" wrapText="1"/>
    </xf>
    <xf numFmtId="0" fontId="1"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2" fillId="6" borderId="1" xfId="1" applyFill="1" applyBorder="1" applyAlignment="1">
      <alignment horizontal="left" vertical="top" wrapText="1"/>
    </xf>
    <xf numFmtId="164" fontId="1" fillId="6" borderId="1" xfId="0" applyNumberFormat="1" applyFont="1" applyFill="1" applyBorder="1" applyAlignment="1">
      <alignment horizontal="left" vertical="top"/>
    </xf>
    <xf numFmtId="165" fontId="1" fillId="6" borderId="1" xfId="0" applyNumberFormat="1" applyFont="1" applyFill="1" applyBorder="1" applyAlignment="1">
      <alignment horizontal="left" vertical="top" wrapText="1"/>
    </xf>
    <xf numFmtId="0" fontId="1" fillId="6" borderId="5" xfId="0" applyFont="1" applyFill="1" applyBorder="1" applyAlignment="1">
      <alignment horizontal="left" vertical="top" wrapText="1"/>
    </xf>
    <xf numFmtId="169" fontId="2" fillId="2" borderId="1" xfId="0" applyNumberFormat="1" applyFont="1" applyFill="1" applyBorder="1" applyAlignment="1">
      <alignment horizontal="left" vertical="top" wrapText="1"/>
    </xf>
    <xf numFmtId="169" fontId="8" fillId="5" borderId="1" xfId="0" applyNumberFormat="1" applyFont="1" applyFill="1" applyBorder="1" applyAlignment="1">
      <alignment horizontal="left" vertical="top" wrapText="1"/>
    </xf>
    <xf numFmtId="169" fontId="1" fillId="5" borderId="1" xfId="0" applyNumberFormat="1" applyFont="1" applyFill="1" applyBorder="1" applyAlignment="1">
      <alignment horizontal="left" vertical="top" wrapText="1"/>
    </xf>
    <xf numFmtId="169" fontId="1" fillId="5" borderId="1" xfId="0" applyNumberFormat="1" applyFont="1" applyFill="1" applyBorder="1" applyAlignment="1">
      <alignment vertical="top" wrapText="1"/>
    </xf>
    <xf numFmtId="169" fontId="1" fillId="5" borderId="0" xfId="0" applyNumberFormat="1" applyFont="1" applyFill="1" applyAlignment="1">
      <alignment vertical="top" wrapText="1"/>
    </xf>
    <xf numFmtId="169" fontId="1" fillId="6" borderId="1" xfId="0" applyNumberFormat="1" applyFont="1" applyFill="1" applyBorder="1" applyAlignment="1">
      <alignment horizontal="left" vertical="top" wrapText="1"/>
    </xf>
    <xf numFmtId="169" fontId="1" fillId="0" borderId="1" xfId="0" applyNumberFormat="1" applyFont="1" applyBorder="1" applyAlignment="1">
      <alignment horizontal="left" vertical="top"/>
    </xf>
    <xf numFmtId="169" fontId="1" fillId="0" borderId="0" xfId="0" applyNumberFormat="1" applyFont="1" applyAlignment="1">
      <alignment horizontal="left" vertical="top"/>
    </xf>
    <xf numFmtId="0" fontId="20" fillId="0" borderId="0" xfId="0" applyFont="1"/>
    <xf numFmtId="0" fontId="20" fillId="0" borderId="1" xfId="0" applyFont="1" applyBorder="1"/>
    <xf numFmtId="0" fontId="20" fillId="0" borderId="1" xfId="0" applyFont="1" applyBorder="1" applyAlignment="1">
      <alignment horizontal="left" vertical="top" wrapText="1"/>
    </xf>
    <xf numFmtId="0" fontId="19" fillId="0" borderId="1" xfId="0" applyFont="1" applyBorder="1"/>
    <xf numFmtId="0" fontId="19" fillId="0" borderId="1" xfId="0" applyFont="1" applyBorder="1" applyAlignment="1">
      <alignment horizontal="left" vertical="top" wrapText="1"/>
    </xf>
    <xf numFmtId="165" fontId="1" fillId="5" borderId="1" xfId="0" applyNumberFormat="1" applyFont="1" applyFill="1" applyBorder="1" applyAlignment="1">
      <alignment horizontal="left" vertical="top" wrapText="1"/>
    </xf>
    <xf numFmtId="0" fontId="20" fillId="0" borderId="1" xfId="0" applyFont="1" applyBorder="1" applyAlignment="1">
      <alignment horizontal="right" vertical="top" wrapText="1"/>
    </xf>
    <xf numFmtId="0" fontId="19" fillId="0" borderId="1" xfId="0" applyFont="1" applyBorder="1" applyAlignment="1">
      <alignment horizontal="right" vertical="top"/>
    </xf>
    <xf numFmtId="0" fontId="20" fillId="0" borderId="1" xfId="0" applyFont="1" applyBorder="1" applyAlignment="1">
      <alignment horizontal="right" vertical="top"/>
    </xf>
    <xf numFmtId="167" fontId="19" fillId="0" borderId="1" xfId="0" applyNumberFormat="1" applyFont="1" applyBorder="1" applyAlignment="1">
      <alignment horizontal="right" vertical="top"/>
    </xf>
    <xf numFmtId="169" fontId="20" fillId="0" borderId="1" xfId="0" applyNumberFormat="1" applyFont="1" applyBorder="1" applyAlignment="1">
      <alignment horizontal="right" vertical="top"/>
    </xf>
    <xf numFmtId="0" fontId="20" fillId="0" borderId="0" xfId="0" applyFont="1" applyAlignment="1">
      <alignment horizontal="right" vertical="top"/>
    </xf>
    <xf numFmtId="167" fontId="20" fillId="0" borderId="1" xfId="0" applyNumberFormat="1" applyFont="1" applyBorder="1" applyAlignment="1">
      <alignment horizontal="right" vertical="top"/>
    </xf>
    <xf numFmtId="167" fontId="20" fillId="0" borderId="1" xfId="0" applyNumberFormat="1" applyFont="1" applyBorder="1" applyAlignment="1">
      <alignment horizontal="right" vertical="top" wrapText="1"/>
    </xf>
    <xf numFmtId="0" fontId="19" fillId="0" borderId="1" xfId="0" applyFont="1" applyBorder="1" applyAlignment="1">
      <alignment horizontal="right" vertical="top" wrapText="1"/>
    </xf>
    <xf numFmtId="167" fontId="19" fillId="0" borderId="1" xfId="0" applyNumberFormat="1" applyFont="1" applyBorder="1" applyAlignment="1">
      <alignment horizontal="right" vertical="top" wrapText="1"/>
    </xf>
    <xf numFmtId="169" fontId="21" fillId="0" borderId="0" xfId="0" applyNumberFormat="1" applyFont="1" applyAlignment="1">
      <alignment horizontal="right" vertical="top"/>
    </xf>
    <xf numFmtId="0" fontId="21" fillId="0" borderId="0" xfId="0" applyFont="1" applyAlignment="1">
      <alignment horizontal="right" vertical="top"/>
    </xf>
    <xf numFmtId="167" fontId="20" fillId="0" borderId="0" xfId="0" applyNumberFormat="1" applyFont="1" applyAlignment="1">
      <alignment horizontal="right" vertical="top"/>
    </xf>
    <xf numFmtId="169" fontId="20" fillId="0" borderId="0" xfId="0" applyNumberFormat="1" applyFont="1" applyAlignment="1">
      <alignment horizontal="right" vertical="top"/>
    </xf>
    <xf numFmtId="0" fontId="0" fillId="5" borderId="1" xfId="0" applyFill="1" applyBorder="1" applyAlignment="1">
      <alignment vertical="top" wrapText="1"/>
    </xf>
    <xf numFmtId="0" fontId="20" fillId="0" borderId="3" xfId="0" applyFont="1" applyBorder="1"/>
    <xf numFmtId="0" fontId="20" fillId="0" borderId="3" xfId="0" applyFont="1" applyBorder="1" applyAlignment="1">
      <alignment horizontal="right" vertical="top"/>
    </xf>
    <xf numFmtId="167" fontId="20" fillId="0" borderId="3" xfId="0" applyNumberFormat="1" applyFont="1" applyBorder="1" applyAlignment="1">
      <alignment horizontal="right" vertical="top"/>
    </xf>
    <xf numFmtId="169" fontId="20" fillId="0" borderId="3" xfId="0" applyNumberFormat="1" applyFont="1" applyBorder="1" applyAlignment="1">
      <alignment horizontal="right" vertical="top"/>
    </xf>
    <xf numFmtId="165" fontId="18" fillId="5" borderId="0" xfId="0" applyNumberFormat="1" applyFont="1" applyFill="1"/>
    <xf numFmtId="169" fontId="1" fillId="5" borderId="1" xfId="0" applyNumberFormat="1" applyFont="1" applyFill="1" applyBorder="1" applyAlignment="1">
      <alignment horizontal="left" vertical="top"/>
    </xf>
    <xf numFmtId="0" fontId="23" fillId="0" borderId="0" xfId="0" applyFont="1" applyAlignment="1">
      <alignment vertical="center"/>
    </xf>
    <xf numFmtId="166" fontId="2" fillId="2" borderId="2" xfId="0" applyNumberFormat="1" applyFont="1" applyFill="1" applyBorder="1" applyAlignment="1">
      <alignment horizontal="left" vertical="top" wrapText="1"/>
    </xf>
    <xf numFmtId="166" fontId="1" fillId="5" borderId="1" xfId="0" applyNumberFormat="1" applyFont="1" applyFill="1" applyBorder="1" applyAlignment="1">
      <alignment horizontal="left" vertical="top"/>
    </xf>
    <xf numFmtId="166" fontId="1" fillId="5" borderId="1" xfId="0" applyNumberFormat="1" applyFont="1" applyFill="1" applyBorder="1" applyAlignment="1">
      <alignment horizontal="left" vertical="top" wrapText="1"/>
    </xf>
    <xf numFmtId="166" fontId="1" fillId="6" borderId="1" xfId="0" applyNumberFormat="1" applyFont="1" applyFill="1" applyBorder="1" applyAlignment="1">
      <alignment horizontal="left" vertical="top" wrapText="1"/>
    </xf>
    <xf numFmtId="166" fontId="1" fillId="0" borderId="1" xfId="0" applyNumberFormat="1" applyFont="1" applyBorder="1" applyAlignment="1">
      <alignment horizontal="left" vertical="top" wrapText="1"/>
    </xf>
    <xf numFmtId="166" fontId="1" fillId="0" borderId="1" xfId="0" applyNumberFormat="1" applyFont="1" applyBorder="1" applyAlignment="1">
      <alignment horizontal="left" vertical="top"/>
    </xf>
    <xf numFmtId="166" fontId="1" fillId="0" borderId="0" xfId="0" applyNumberFormat="1" applyFont="1" applyAlignment="1">
      <alignment horizontal="left" vertical="top"/>
    </xf>
    <xf numFmtId="166" fontId="8" fillId="5" borderId="1" xfId="0" applyNumberFormat="1" applyFont="1" applyFill="1" applyBorder="1" applyAlignment="1">
      <alignment horizontal="left" vertical="top"/>
    </xf>
    <xf numFmtId="166" fontId="8" fillId="5" borderId="1" xfId="0" applyNumberFormat="1" applyFont="1" applyFill="1" applyBorder="1" applyAlignment="1">
      <alignment horizontal="left" vertical="top" wrapText="1"/>
    </xf>
    <xf numFmtId="166" fontId="8" fillId="0" borderId="1" xfId="0" applyNumberFormat="1" applyFont="1" applyBorder="1" applyAlignment="1">
      <alignment horizontal="left" vertical="top"/>
    </xf>
    <xf numFmtId="166" fontId="1" fillId="6" borderId="1" xfId="0" applyNumberFormat="1" applyFont="1" applyFill="1" applyBorder="1" applyAlignment="1">
      <alignment horizontal="left" vertical="top"/>
    </xf>
    <xf numFmtId="166" fontId="8" fillId="5" borderId="4" xfId="0" applyNumberFormat="1" applyFont="1" applyFill="1" applyBorder="1" applyAlignment="1">
      <alignment horizontal="left" vertical="top"/>
    </xf>
    <xf numFmtId="166" fontId="4" fillId="5" borderId="1" xfId="0" applyNumberFormat="1" applyFont="1" applyFill="1" applyBorder="1" applyAlignment="1">
      <alignment horizontal="left" vertical="top"/>
    </xf>
    <xf numFmtId="166" fontId="9" fillId="5" borderId="1" xfId="0" applyNumberFormat="1" applyFont="1" applyFill="1" applyBorder="1" applyAlignment="1">
      <alignment horizontal="left" vertical="top"/>
    </xf>
    <xf numFmtId="166" fontId="7" fillId="5" borderId="1" xfId="0" applyNumberFormat="1" applyFont="1" applyFill="1" applyBorder="1" applyAlignment="1">
      <alignment horizontal="left" vertical="top"/>
    </xf>
    <xf numFmtId="166" fontId="9" fillId="5" borderId="1" xfId="0" applyNumberFormat="1" applyFont="1" applyFill="1" applyBorder="1" applyAlignment="1">
      <alignment horizontal="left" vertical="top" wrapText="1"/>
    </xf>
    <xf numFmtId="166" fontId="7" fillId="5" borderId="1" xfId="0" applyNumberFormat="1" applyFont="1" applyFill="1" applyBorder="1" applyAlignment="1">
      <alignment horizontal="left" vertical="top" wrapText="1"/>
    </xf>
    <xf numFmtId="166" fontId="1" fillId="6" borderId="0" xfId="0" applyNumberFormat="1" applyFont="1" applyFill="1" applyAlignment="1">
      <alignment horizontal="left" vertical="top"/>
    </xf>
    <xf numFmtId="0" fontId="16" fillId="5" borderId="1" xfId="0" applyFont="1" applyFill="1" applyBorder="1" applyAlignment="1">
      <alignment vertical="top" wrapText="1"/>
    </xf>
    <xf numFmtId="167" fontId="1" fillId="5" borderId="1" xfId="0" applyNumberFormat="1" applyFont="1" applyFill="1" applyBorder="1" applyAlignment="1">
      <alignment horizontal="left" vertical="top" wrapText="1"/>
    </xf>
    <xf numFmtId="169" fontId="1" fillId="5" borderId="3" xfId="0" applyNumberFormat="1" applyFont="1" applyFill="1" applyBorder="1" applyAlignment="1">
      <alignment horizontal="left" vertical="top"/>
    </xf>
    <xf numFmtId="15" fontId="1" fillId="5" borderId="1" xfId="0" applyNumberFormat="1" applyFont="1" applyFill="1" applyBorder="1" applyAlignment="1">
      <alignment horizontal="left" vertical="top" wrapText="1"/>
    </xf>
    <xf numFmtId="15" fontId="7" fillId="5" borderId="1" xfId="0" applyNumberFormat="1" applyFont="1" applyFill="1" applyBorder="1" applyAlignment="1">
      <alignment horizontal="left" vertical="top"/>
    </xf>
    <xf numFmtId="0" fontId="8" fillId="5" borderId="3" xfId="0" applyFont="1" applyFill="1" applyBorder="1" applyAlignment="1">
      <alignment horizontal="left" vertical="top" wrapText="1"/>
    </xf>
    <xf numFmtId="0" fontId="1" fillId="5" borderId="3" xfId="0" applyFont="1" applyFill="1" applyBorder="1" applyAlignment="1">
      <alignment horizontal="left" vertical="top"/>
    </xf>
    <xf numFmtId="0" fontId="1" fillId="5" borderId="0" xfId="0" applyFont="1" applyFill="1" applyAlignment="1">
      <alignment horizontal="left" vertical="top" wrapText="1"/>
    </xf>
    <xf numFmtId="0" fontId="12" fillId="5" borderId="3" xfId="1" applyFill="1" applyBorder="1" applyAlignment="1">
      <alignment horizontal="left" vertical="top" wrapText="1"/>
    </xf>
    <xf numFmtId="166" fontId="1" fillId="5" borderId="3" xfId="0" applyNumberFormat="1" applyFont="1" applyFill="1" applyBorder="1" applyAlignment="1">
      <alignment horizontal="left" vertical="top" wrapText="1"/>
    </xf>
    <xf numFmtId="166" fontId="8" fillId="5" borderId="3" xfId="0" applyNumberFormat="1" applyFont="1" applyFill="1" applyBorder="1" applyAlignment="1">
      <alignment horizontal="left" vertical="top"/>
    </xf>
    <xf numFmtId="164" fontId="1" fillId="5" borderId="3" xfId="0" applyNumberFormat="1" applyFont="1" applyFill="1" applyBorder="1" applyAlignment="1">
      <alignment horizontal="left" vertical="top"/>
    </xf>
    <xf numFmtId="166" fontId="1" fillId="5" borderId="3" xfId="0" applyNumberFormat="1" applyFont="1" applyFill="1" applyBorder="1" applyAlignment="1">
      <alignment horizontal="left" vertical="top"/>
    </xf>
    <xf numFmtId="15" fontId="7" fillId="5" borderId="3" xfId="0" applyNumberFormat="1" applyFont="1" applyFill="1" applyBorder="1" applyAlignment="1">
      <alignment horizontal="left" vertical="top"/>
    </xf>
    <xf numFmtId="0" fontId="9" fillId="2" borderId="1" xfId="0" applyFont="1" applyFill="1" applyBorder="1" applyAlignment="1">
      <alignment horizontal="left" vertical="top" wrapText="1"/>
    </xf>
    <xf numFmtId="0" fontId="9" fillId="2" borderId="2" xfId="0" applyFont="1" applyFill="1" applyBorder="1" applyAlignment="1">
      <alignment horizontal="left" vertical="top" wrapText="1"/>
    </xf>
    <xf numFmtId="0" fontId="8" fillId="0" borderId="0" xfId="0" applyFont="1" applyAlignment="1">
      <alignment horizontal="left" vertical="top"/>
    </xf>
    <xf numFmtId="0" fontId="1" fillId="4" borderId="1" xfId="0" applyFont="1" applyFill="1" applyBorder="1" applyAlignment="1">
      <alignment horizontal="left" vertical="top"/>
    </xf>
    <xf numFmtId="167" fontId="1" fillId="5" borderId="1" xfId="0" applyNumberFormat="1" applyFont="1" applyFill="1" applyBorder="1" applyAlignment="1">
      <alignment horizontal="left" vertical="top"/>
    </xf>
    <xf numFmtId="167" fontId="7" fillId="5" borderId="1" xfId="0" applyNumberFormat="1" applyFont="1" applyFill="1" applyBorder="1" applyAlignment="1">
      <alignment horizontal="left" vertical="top"/>
    </xf>
    <xf numFmtId="165" fontId="7" fillId="5" borderId="1" xfId="0" applyNumberFormat="1" applyFont="1" applyFill="1" applyBorder="1" applyAlignment="1">
      <alignment horizontal="left" vertical="top"/>
    </xf>
    <xf numFmtId="167" fontId="4" fillId="5" borderId="1" xfId="0" applyNumberFormat="1" applyFont="1" applyFill="1" applyBorder="1" applyAlignment="1">
      <alignment horizontal="left" vertical="top"/>
    </xf>
    <xf numFmtId="167" fontId="1" fillId="0" borderId="1" xfId="0" applyNumberFormat="1" applyFont="1" applyBorder="1" applyAlignment="1">
      <alignment horizontal="left" vertical="top"/>
    </xf>
    <xf numFmtId="15" fontId="1" fillId="5" borderId="1" xfId="0" applyNumberFormat="1" applyFont="1" applyFill="1" applyBorder="1" applyAlignment="1">
      <alignment horizontal="left" vertical="top"/>
    </xf>
    <xf numFmtId="0" fontId="3" fillId="5" borderId="2" xfId="0" applyFont="1" applyFill="1" applyBorder="1" applyAlignment="1">
      <alignment horizontal="left" vertical="top" wrapText="1"/>
    </xf>
    <xf numFmtId="0" fontId="1" fillId="5" borderId="0" xfId="0" applyFont="1" applyFill="1" applyAlignment="1">
      <alignment horizontal="left" vertical="top"/>
    </xf>
    <xf numFmtId="166" fontId="15" fillId="5" borderId="1" xfId="0" applyNumberFormat="1" applyFont="1" applyFill="1" applyBorder="1" applyAlignment="1">
      <alignment horizontal="left" vertical="top" wrapText="1"/>
    </xf>
    <xf numFmtId="14" fontId="1" fillId="5" borderId="1" xfId="0" applyNumberFormat="1" applyFont="1" applyFill="1" applyBorder="1" applyAlignment="1">
      <alignment horizontal="left" vertical="top"/>
    </xf>
    <xf numFmtId="14" fontId="20" fillId="0" borderId="1" xfId="0" applyNumberFormat="1" applyFont="1" applyBorder="1" applyAlignment="1">
      <alignment horizontal="right" vertical="top"/>
    </xf>
    <xf numFmtId="0" fontId="11" fillId="4" borderId="1" xfId="0" applyFont="1" applyFill="1" applyBorder="1" applyAlignment="1">
      <alignment vertical="top" wrapText="1"/>
    </xf>
    <xf numFmtId="166" fontId="3" fillId="5" borderId="1" xfId="0" applyNumberFormat="1" applyFont="1" applyFill="1" applyBorder="1" applyAlignment="1">
      <alignment horizontal="left" vertical="top" wrapText="1"/>
    </xf>
    <xf numFmtId="169" fontId="3" fillId="5" borderId="1" xfId="0" applyNumberFormat="1" applyFont="1" applyFill="1" applyBorder="1" applyAlignment="1">
      <alignment horizontal="left" vertical="top" wrapText="1"/>
    </xf>
    <xf numFmtId="168" fontId="8" fillId="5" borderId="1" xfId="0" applyNumberFormat="1" applyFont="1" applyFill="1" applyBorder="1" applyAlignment="1">
      <alignment horizontal="left" vertical="top" wrapText="1"/>
    </xf>
    <xf numFmtId="0" fontId="11" fillId="0" borderId="0" xfId="0" applyFont="1" applyAlignment="1">
      <alignment horizontal="left" vertical="top"/>
    </xf>
    <xf numFmtId="165" fontId="11" fillId="5" borderId="1" xfId="0" applyNumberFormat="1" applyFont="1" applyFill="1" applyBorder="1" applyAlignment="1">
      <alignment vertical="top" wrapText="1"/>
    </xf>
    <xf numFmtId="15" fontId="11" fillId="5" borderId="1" xfId="0" applyNumberFormat="1" applyFont="1" applyFill="1" applyBorder="1" applyAlignment="1">
      <alignment vertical="top" wrapText="1"/>
    </xf>
    <xf numFmtId="15" fontId="11" fillId="5" borderId="1" xfId="0" applyNumberFormat="1" applyFont="1" applyFill="1" applyBorder="1" applyAlignment="1">
      <alignment horizontal="right" vertical="top" wrapText="1"/>
    </xf>
    <xf numFmtId="0" fontId="11" fillId="5" borderId="3" xfId="0" applyFont="1" applyFill="1" applyBorder="1" applyAlignment="1">
      <alignment horizontal="left" vertical="top"/>
    </xf>
    <xf numFmtId="0" fontId="11" fillId="0" borderId="0" xfId="0" applyFont="1" applyAlignment="1">
      <alignment vertical="top" wrapText="1"/>
    </xf>
    <xf numFmtId="0" fontId="31" fillId="5" borderId="1" xfId="0" applyFont="1" applyFill="1" applyBorder="1" applyAlignment="1">
      <alignment vertical="top" wrapText="1"/>
    </xf>
    <xf numFmtId="0" fontId="31" fillId="5" borderId="1" xfId="0" applyFont="1" applyFill="1" applyBorder="1" applyAlignment="1">
      <alignment wrapText="1"/>
    </xf>
    <xf numFmtId="164" fontId="11" fillId="5" borderId="1" xfId="0" applyNumberFormat="1" applyFont="1" applyFill="1" applyBorder="1" applyAlignment="1">
      <alignment vertical="top" wrapText="1"/>
    </xf>
    <xf numFmtId="0" fontId="29" fillId="5" borderId="3" xfId="0" applyFont="1" applyFill="1" applyBorder="1" applyAlignment="1">
      <alignment horizontal="left" vertical="top"/>
    </xf>
    <xf numFmtId="0" fontId="11" fillId="5" borderId="1" xfId="0" applyFont="1" applyFill="1" applyBorder="1"/>
    <xf numFmtId="0" fontId="11" fillId="5" borderId="0" xfId="0" applyFont="1" applyFill="1" applyAlignment="1">
      <alignment vertical="top"/>
    </xf>
    <xf numFmtId="0" fontId="33" fillId="5" borderId="1" xfId="1" applyFont="1" applyFill="1" applyBorder="1" applyAlignment="1">
      <alignment vertical="top" wrapText="1"/>
    </xf>
    <xf numFmtId="0" fontId="11" fillId="5" borderId="1" xfId="0" applyFont="1" applyFill="1" applyBorder="1" applyAlignment="1">
      <alignment vertical="top"/>
    </xf>
    <xf numFmtId="164" fontId="11" fillId="5" borderId="1" xfId="0" applyNumberFormat="1" applyFont="1" applyFill="1" applyBorder="1" applyAlignment="1">
      <alignment vertical="top"/>
    </xf>
    <xf numFmtId="0" fontId="11" fillId="5" borderId="3" xfId="0" applyFont="1" applyFill="1" applyBorder="1" applyAlignment="1">
      <alignment vertical="top" wrapText="1"/>
    </xf>
    <xf numFmtId="165" fontId="11" fillId="5" borderId="1" xfId="0" applyNumberFormat="1" applyFont="1" applyFill="1" applyBorder="1" applyAlignment="1">
      <alignment vertical="top"/>
    </xf>
    <xf numFmtId="0" fontId="11" fillId="0" borderId="0" xfId="0" applyFont="1"/>
    <xf numFmtId="0" fontId="11" fillId="0" borderId="1" xfId="0" applyFont="1" applyBorder="1" applyAlignment="1">
      <alignment vertical="top"/>
    </xf>
    <xf numFmtId="0" fontId="11" fillId="0" borderId="1" xfId="0" applyFont="1" applyBorder="1" applyAlignment="1">
      <alignment horizontal="center" vertical="top"/>
    </xf>
    <xf numFmtId="0" fontId="11" fillId="0" borderId="0" xfId="0" applyFont="1" applyAlignment="1">
      <alignment vertical="top"/>
    </xf>
    <xf numFmtId="0" fontId="33" fillId="0" borderId="1" xfId="1" applyFont="1" applyBorder="1" applyAlignment="1">
      <alignment vertical="top" wrapText="1"/>
    </xf>
    <xf numFmtId="0" fontId="11" fillId="5" borderId="1" xfId="0" applyFont="1" applyFill="1" applyBorder="1" applyAlignment="1">
      <alignment horizontal="left" vertical="top" wrapText="1"/>
    </xf>
    <xf numFmtId="0" fontId="11" fillId="0" borderId="1" xfId="0" applyFont="1" applyBorder="1"/>
    <xf numFmtId="0" fontId="11" fillId="0" borderId="7" xfId="0" applyFont="1" applyBorder="1"/>
    <xf numFmtId="0" fontId="12" fillId="0" borderId="1" xfId="1" applyBorder="1" applyAlignment="1">
      <alignment vertical="top" wrapText="1"/>
    </xf>
    <xf numFmtId="0" fontId="1" fillId="5" borderId="1" xfId="0" applyFont="1" applyFill="1" applyBorder="1" applyAlignment="1">
      <alignment horizontal="left" vertical="top" wrapText="1" shrinkToFit="1"/>
    </xf>
    <xf numFmtId="0" fontId="11" fillId="5" borderId="8" xfId="0" applyFont="1" applyFill="1" applyBorder="1" applyAlignment="1">
      <alignment vertical="top" wrapText="1"/>
    </xf>
    <xf numFmtId="0" fontId="1" fillId="5" borderId="4" xfId="0" applyFont="1" applyFill="1" applyBorder="1" applyAlignment="1">
      <alignment horizontal="left" vertical="top" wrapText="1"/>
    </xf>
    <xf numFmtId="166" fontId="1" fillId="5" borderId="4" xfId="0" applyNumberFormat="1" applyFont="1" applyFill="1" applyBorder="1" applyAlignment="1">
      <alignment horizontal="left" vertical="top"/>
    </xf>
    <xf numFmtId="0" fontId="1" fillId="5" borderId="4" xfId="0" applyFont="1" applyFill="1" applyBorder="1" applyAlignment="1">
      <alignment horizontal="left" vertical="top"/>
    </xf>
    <xf numFmtId="170" fontId="2" fillId="2" borderId="2" xfId="0" applyNumberFormat="1" applyFont="1" applyFill="1" applyBorder="1" applyAlignment="1">
      <alignment horizontal="left" vertical="top" wrapText="1"/>
    </xf>
    <xf numFmtId="170" fontId="2" fillId="2" borderId="2" xfId="0" applyNumberFormat="1" applyFont="1" applyFill="1" applyBorder="1" applyAlignment="1">
      <alignment horizontal="right" vertical="top" wrapText="1"/>
    </xf>
    <xf numFmtId="170" fontId="11" fillId="5" borderId="1" xfId="0" applyNumberFormat="1" applyFont="1" applyFill="1" applyBorder="1" applyAlignment="1">
      <alignment vertical="top" wrapText="1"/>
    </xf>
    <xf numFmtId="170" fontId="11" fillId="5" borderId="1" xfId="0" applyNumberFormat="1" applyFont="1" applyFill="1" applyBorder="1" applyAlignment="1">
      <alignment horizontal="right" vertical="top" wrapText="1"/>
    </xf>
    <xf numFmtId="170" fontId="11" fillId="5" borderId="1" xfId="0" applyNumberFormat="1" applyFont="1" applyFill="1" applyBorder="1" applyAlignment="1">
      <alignment vertical="top"/>
    </xf>
    <xf numFmtId="170" fontId="11" fillId="0" borderId="1" xfId="0" applyNumberFormat="1" applyFont="1" applyBorder="1" applyAlignment="1">
      <alignment horizontal="right" vertical="top" wrapText="1"/>
    </xf>
    <xf numFmtId="170" fontId="11" fillId="0" borderId="1" xfId="0" applyNumberFormat="1" applyFont="1" applyBorder="1" applyAlignment="1">
      <alignment vertical="top"/>
    </xf>
    <xf numFmtId="170" fontId="11" fillId="0" borderId="1" xfId="0" applyNumberFormat="1" applyFont="1" applyBorder="1" applyAlignment="1">
      <alignment horizontal="right" vertical="top"/>
    </xf>
    <xf numFmtId="170" fontId="11" fillId="0" borderId="1" xfId="0" applyNumberFormat="1" applyFont="1" applyBorder="1" applyAlignment="1">
      <alignment vertical="top" wrapText="1"/>
    </xf>
    <xf numFmtId="170" fontId="11" fillId="0" borderId="1" xfId="0" applyNumberFormat="1" applyFont="1" applyBorder="1"/>
    <xf numFmtId="170" fontId="11" fillId="0" borderId="0" xfId="0" applyNumberFormat="1" applyFont="1"/>
    <xf numFmtId="170" fontId="11" fillId="0" borderId="0" xfId="0" applyNumberFormat="1" applyFont="1" applyAlignment="1">
      <alignment horizontal="right"/>
    </xf>
    <xf numFmtId="170" fontId="11" fillId="5" borderId="1" xfId="0" applyNumberFormat="1" applyFont="1" applyFill="1" applyBorder="1"/>
    <xf numFmtId="170" fontId="3" fillId="5" borderId="2" xfId="0" applyNumberFormat="1" applyFont="1" applyFill="1" applyBorder="1" applyAlignment="1">
      <alignment horizontal="left" vertical="top" wrapText="1"/>
    </xf>
    <xf numFmtId="170" fontId="11" fillId="5" borderId="1" xfId="0" applyNumberFormat="1" applyFont="1" applyFill="1" applyBorder="1" applyAlignment="1">
      <alignment horizontal="center" vertical="top"/>
    </xf>
    <xf numFmtId="170" fontId="11" fillId="5" borderId="1" xfId="0" applyNumberFormat="1" applyFont="1" applyFill="1" applyBorder="1" applyAlignment="1">
      <alignment horizontal="left" vertical="top"/>
    </xf>
    <xf numFmtId="170" fontId="11" fillId="5" borderId="1" xfId="0" applyNumberFormat="1" applyFont="1" applyFill="1" applyBorder="1" applyAlignment="1">
      <alignment horizontal="right" vertical="top"/>
    </xf>
    <xf numFmtId="170" fontId="29" fillId="5" borderId="1" xfId="0" applyNumberFormat="1" applyFont="1" applyFill="1" applyBorder="1" applyAlignment="1">
      <alignment vertical="top" wrapText="1"/>
    </xf>
    <xf numFmtId="170" fontId="3" fillId="5" borderId="2" xfId="0" applyNumberFormat="1" applyFont="1" applyFill="1" applyBorder="1" applyAlignment="1">
      <alignment horizontal="right" vertical="top" wrapText="1"/>
    </xf>
    <xf numFmtId="170" fontId="11" fillId="5" borderId="1" xfId="0" applyNumberFormat="1" applyFont="1" applyFill="1" applyBorder="1" applyAlignment="1">
      <alignment horizontal="left" vertical="top" wrapText="1"/>
    </xf>
    <xf numFmtId="170" fontId="2" fillId="2" borderId="1" xfId="0" applyNumberFormat="1" applyFont="1" applyFill="1" applyBorder="1" applyAlignment="1">
      <alignment horizontal="left" vertical="top" wrapText="1"/>
    </xf>
    <xf numFmtId="170" fontId="3" fillId="5" borderId="1" xfId="0" applyNumberFormat="1" applyFont="1" applyFill="1" applyBorder="1" applyAlignment="1">
      <alignment horizontal="left" vertical="top" wrapText="1"/>
    </xf>
    <xf numFmtId="170" fontId="2" fillId="3" borderId="1" xfId="0" applyNumberFormat="1" applyFont="1" applyFill="1" applyBorder="1" applyAlignment="1">
      <alignment horizontal="left" vertical="top" wrapText="1"/>
    </xf>
    <xf numFmtId="0" fontId="11" fillId="5" borderId="1" xfId="0" applyFont="1" applyFill="1" applyBorder="1" applyAlignment="1">
      <alignment vertical="center" wrapText="1"/>
    </xf>
    <xf numFmtId="0" fontId="11" fillId="5" borderId="1" xfId="0" applyFont="1" applyFill="1" applyBorder="1" applyAlignment="1">
      <alignment horizontal="left" vertical="top"/>
    </xf>
    <xf numFmtId="0" fontId="11" fillId="7" borderId="1" xfId="0" applyFont="1" applyFill="1" applyBorder="1" applyAlignment="1">
      <alignment vertical="top" wrapText="1"/>
    </xf>
    <xf numFmtId="0" fontId="12" fillId="5" borderId="1" xfId="1" applyFill="1" applyBorder="1" applyAlignment="1">
      <alignment vertical="top" wrapText="1"/>
    </xf>
    <xf numFmtId="0" fontId="11" fillId="5" borderId="1" xfId="0" applyFont="1" applyFill="1" applyBorder="1" applyAlignment="1">
      <alignment vertical="center"/>
    </xf>
    <xf numFmtId="165" fontId="11" fillId="0" borderId="1" xfId="0" applyNumberFormat="1" applyFont="1" applyBorder="1" applyAlignment="1">
      <alignment vertical="top"/>
    </xf>
    <xf numFmtId="0" fontId="31" fillId="0" borderId="1" xfId="0" applyFont="1" applyBorder="1" applyAlignment="1">
      <alignment vertical="top" wrapText="1"/>
    </xf>
    <xf numFmtId="0" fontId="0" fillId="5" borderId="1" xfId="0" applyFill="1" applyBorder="1" applyAlignment="1">
      <alignment vertical="top"/>
    </xf>
    <xf numFmtId="165" fontId="1" fillId="5" borderId="3" xfId="0" applyNumberFormat="1" applyFont="1" applyFill="1" applyBorder="1" applyAlignment="1">
      <alignment horizontal="left" vertical="top"/>
    </xf>
    <xf numFmtId="0" fontId="11" fillId="5" borderId="1" xfId="0" applyFont="1" applyFill="1" applyBorder="1" applyAlignment="1">
      <alignment wrapText="1"/>
    </xf>
    <xf numFmtId="164" fontId="11" fillId="5" borderId="1" xfId="0" applyNumberFormat="1" applyFont="1" applyFill="1" applyBorder="1" applyAlignment="1">
      <alignment wrapText="1"/>
    </xf>
    <xf numFmtId="0" fontId="11" fillId="0" borderId="3" xfId="0" applyFont="1" applyBorder="1" applyAlignment="1">
      <alignment vertical="top" wrapText="1"/>
    </xf>
    <xf numFmtId="0" fontId="11" fillId="0" borderId="3" xfId="0" applyFont="1" applyBorder="1"/>
    <xf numFmtId="0" fontId="38" fillId="0" borderId="1" xfId="0" applyFont="1" applyBorder="1" applyAlignment="1">
      <alignment vertical="top"/>
    </xf>
    <xf numFmtId="0" fontId="38" fillId="0" borderId="0" xfId="0" applyFont="1" applyAlignment="1">
      <alignment horizontal="left" vertical="center" indent="1"/>
    </xf>
    <xf numFmtId="170" fontId="29" fillId="5" borderId="1" xfId="0" applyNumberFormat="1" applyFont="1" applyFill="1" applyBorder="1" applyAlignment="1">
      <alignment horizontal="left" vertical="top" wrapText="1"/>
    </xf>
    <xf numFmtId="0" fontId="28" fillId="5" borderId="1" xfId="0" applyFont="1" applyFill="1" applyBorder="1" applyAlignment="1">
      <alignment vertical="top" wrapText="1"/>
    </xf>
    <xf numFmtId="170" fontId="11" fillId="5" borderId="0" xfId="0" applyNumberFormat="1" applyFont="1" applyFill="1" applyAlignment="1">
      <alignment vertical="top" wrapText="1"/>
    </xf>
    <xf numFmtId="165" fontId="0" fillId="5" borderId="0" xfId="0" applyNumberFormat="1" applyFill="1" applyAlignment="1">
      <alignment vertical="top"/>
    </xf>
    <xf numFmtId="168" fontId="1" fillId="5" borderId="1" xfId="0" applyNumberFormat="1" applyFont="1" applyFill="1" applyBorder="1" applyAlignment="1">
      <alignment horizontal="left" vertical="top" wrapText="1"/>
    </xf>
    <xf numFmtId="0" fontId="26" fillId="5" borderId="1" xfId="0" applyFont="1" applyFill="1" applyBorder="1" applyAlignment="1">
      <alignment horizontal="left" vertical="top" wrapText="1"/>
    </xf>
    <xf numFmtId="170" fontId="28" fillId="5" borderId="1" xfId="0" applyNumberFormat="1" applyFont="1" applyFill="1" applyBorder="1" applyAlignment="1">
      <alignment vertical="top" wrapText="1"/>
    </xf>
    <xf numFmtId="170" fontId="2" fillId="5" borderId="2" xfId="0" applyNumberFormat="1" applyFont="1" applyFill="1" applyBorder="1" applyAlignment="1">
      <alignment horizontal="left" vertical="top" wrapText="1"/>
    </xf>
    <xf numFmtId="170" fontId="28" fillId="5" borderId="1" xfId="0" applyNumberFormat="1" applyFont="1" applyFill="1" applyBorder="1" applyAlignment="1">
      <alignment horizontal="left" vertical="top"/>
    </xf>
    <xf numFmtId="170" fontId="28" fillId="5" borderId="1" xfId="0" applyNumberFormat="1" applyFont="1" applyFill="1" applyBorder="1" applyAlignment="1">
      <alignment vertical="top"/>
    </xf>
    <xf numFmtId="170" fontId="28" fillId="5" borderId="1" xfId="0" applyNumberFormat="1" applyFont="1" applyFill="1" applyBorder="1"/>
    <xf numFmtId="170" fontId="28" fillId="0" borderId="1" xfId="0" applyNumberFormat="1" applyFont="1" applyBorder="1" applyAlignment="1">
      <alignment vertical="top"/>
    </xf>
    <xf numFmtId="170" fontId="28" fillId="0" borderId="1" xfId="0" applyNumberFormat="1" applyFont="1" applyBorder="1"/>
    <xf numFmtId="170" fontId="28" fillId="0" borderId="0" xfId="0" applyNumberFormat="1" applyFont="1"/>
    <xf numFmtId="170" fontId="11" fillId="5" borderId="4" xfId="0" applyNumberFormat="1" applyFont="1" applyFill="1" applyBorder="1" applyAlignment="1">
      <alignment vertical="top"/>
    </xf>
    <xf numFmtId="170" fontId="32" fillId="5" borderId="1" xfId="0" applyNumberFormat="1" applyFont="1" applyFill="1" applyBorder="1" applyAlignment="1">
      <alignment vertical="top"/>
    </xf>
    <xf numFmtId="0" fontId="12" fillId="0" borderId="1" xfId="1" applyBorder="1" applyAlignment="1">
      <alignment horizontal="left" vertical="top"/>
    </xf>
    <xf numFmtId="165" fontId="11" fillId="5" borderId="3" xfId="0" applyNumberFormat="1" applyFont="1" applyFill="1" applyBorder="1" applyAlignment="1">
      <alignment vertical="top"/>
    </xf>
    <xf numFmtId="0" fontId="1" fillId="0" borderId="9" xfId="0" applyFont="1" applyBorder="1" applyAlignment="1">
      <alignment horizontal="left" vertical="top"/>
    </xf>
    <xf numFmtId="0" fontId="1" fillId="4" borderId="3" xfId="0" applyFont="1" applyFill="1" applyBorder="1" applyAlignment="1">
      <alignment horizontal="left" vertical="top" wrapText="1"/>
    </xf>
    <xf numFmtId="0" fontId="13" fillId="5" borderId="3" xfId="1" applyFont="1" applyFill="1" applyBorder="1" applyAlignment="1">
      <alignment horizontal="left" vertical="top" wrapText="1"/>
    </xf>
    <xf numFmtId="165" fontId="14" fillId="5" borderId="3" xfId="0" applyNumberFormat="1" applyFont="1" applyFill="1" applyBorder="1" applyAlignment="1">
      <alignment vertical="top"/>
    </xf>
    <xf numFmtId="169" fontId="1" fillId="5" borderId="3" xfId="0" applyNumberFormat="1" applyFont="1" applyFill="1" applyBorder="1" applyAlignment="1">
      <alignment horizontal="left" vertical="top" wrapText="1"/>
    </xf>
    <xf numFmtId="166" fontId="8" fillId="5" borderId="3" xfId="0" applyNumberFormat="1" applyFont="1" applyFill="1" applyBorder="1" applyAlignment="1">
      <alignment horizontal="left" vertical="top" wrapText="1"/>
    </xf>
    <xf numFmtId="2" fontId="1" fillId="5" borderId="3" xfId="0" applyNumberFormat="1" applyFont="1" applyFill="1" applyBorder="1" applyAlignment="1">
      <alignment horizontal="left" vertical="top"/>
    </xf>
    <xf numFmtId="0" fontId="1" fillId="5" borderId="6" xfId="0" applyFont="1" applyFill="1" applyBorder="1" applyAlignment="1">
      <alignment horizontal="left" vertical="top" wrapText="1"/>
    </xf>
    <xf numFmtId="0" fontId="1" fillId="4" borderId="5" xfId="0" applyFont="1" applyFill="1" applyBorder="1" applyAlignment="1">
      <alignment horizontal="left" vertical="top" wrapText="1"/>
    </xf>
    <xf numFmtId="0" fontId="8" fillId="5" borderId="5" xfId="0" applyFont="1" applyFill="1" applyBorder="1" applyAlignment="1">
      <alignment horizontal="left" vertical="top" wrapText="1"/>
    </xf>
    <xf numFmtId="0" fontId="1" fillId="5" borderId="5" xfId="0" applyFont="1" applyFill="1" applyBorder="1" applyAlignment="1">
      <alignment horizontal="left" vertical="top"/>
    </xf>
    <xf numFmtId="0" fontId="1" fillId="5" borderId="5" xfId="0" applyFont="1" applyFill="1" applyBorder="1" applyAlignment="1">
      <alignment horizontal="left" vertical="top" wrapText="1"/>
    </xf>
    <xf numFmtId="166" fontId="1" fillId="5" borderId="5" xfId="0" applyNumberFormat="1" applyFont="1" applyFill="1" applyBorder="1" applyAlignment="1">
      <alignment horizontal="left" vertical="top" wrapText="1"/>
    </xf>
    <xf numFmtId="166" fontId="8" fillId="5" borderId="5" xfId="0" applyNumberFormat="1" applyFont="1" applyFill="1" applyBorder="1" applyAlignment="1">
      <alignment horizontal="left" vertical="top"/>
    </xf>
    <xf numFmtId="164" fontId="1" fillId="5" borderId="5" xfId="0" applyNumberFormat="1" applyFont="1" applyFill="1" applyBorder="1" applyAlignment="1">
      <alignment horizontal="left" vertical="top"/>
    </xf>
    <xf numFmtId="166" fontId="1" fillId="5" borderId="5" xfId="0" applyNumberFormat="1" applyFont="1" applyFill="1" applyBorder="1" applyAlignment="1">
      <alignment horizontal="left" vertical="top"/>
    </xf>
    <xf numFmtId="0" fontId="1" fillId="5" borderId="10" xfId="0" applyFont="1" applyFill="1" applyBorder="1" applyAlignment="1">
      <alignment horizontal="left" vertical="top" wrapText="1"/>
    </xf>
    <xf numFmtId="169" fontId="1" fillId="5" borderId="5" xfId="0" applyNumberFormat="1" applyFont="1" applyFill="1" applyBorder="1" applyAlignment="1">
      <alignment horizontal="left" vertical="top" wrapText="1"/>
    </xf>
    <xf numFmtId="166" fontId="7" fillId="5" borderId="5" xfId="0" applyNumberFormat="1" applyFont="1" applyFill="1" applyBorder="1" applyAlignment="1">
      <alignment horizontal="left" vertical="top" wrapText="1"/>
    </xf>
    <xf numFmtId="166" fontId="7" fillId="5" borderId="5" xfId="0" applyNumberFormat="1" applyFont="1" applyFill="1" applyBorder="1" applyAlignment="1">
      <alignment horizontal="left" vertical="top"/>
    </xf>
    <xf numFmtId="2" fontId="1" fillId="5" borderId="5" xfId="0" applyNumberFormat="1" applyFont="1" applyFill="1" applyBorder="1" applyAlignment="1">
      <alignment horizontal="left" vertical="top"/>
    </xf>
    <xf numFmtId="0" fontId="1" fillId="5" borderId="11" xfId="0" applyFont="1" applyFill="1" applyBorder="1" applyAlignment="1">
      <alignment horizontal="left" vertical="top" wrapText="1"/>
    </xf>
    <xf numFmtId="0" fontId="38" fillId="5" borderId="1" xfId="0" applyFont="1" applyFill="1" applyBorder="1" applyAlignment="1">
      <alignment vertical="top" wrapText="1"/>
    </xf>
    <xf numFmtId="0" fontId="38" fillId="5" borderId="1" xfId="0" applyFont="1" applyFill="1" applyBorder="1" applyAlignment="1">
      <alignment vertical="top"/>
    </xf>
    <xf numFmtId="165" fontId="11" fillId="5" borderId="1" xfId="0" applyNumberFormat="1" applyFont="1" applyFill="1" applyBorder="1" applyAlignment="1">
      <alignment horizontal="right" vertical="top"/>
    </xf>
    <xf numFmtId="14" fontId="11" fillId="0" borderId="1" xfId="0" applyNumberFormat="1" applyFont="1" applyBorder="1" applyAlignment="1">
      <alignment vertical="top" wrapText="1"/>
    </xf>
    <xf numFmtId="170" fontId="3" fillId="5" borderId="1" xfId="0" applyNumberFormat="1" applyFont="1" applyFill="1" applyBorder="1" applyAlignment="1">
      <alignment vertical="top" wrapText="1"/>
    </xf>
    <xf numFmtId="170" fontId="11" fillId="5" borderId="6" xfId="0" applyNumberFormat="1" applyFont="1" applyFill="1" applyBorder="1" applyAlignment="1">
      <alignment vertical="top"/>
    </xf>
    <xf numFmtId="0" fontId="11" fillId="5" borderId="7" xfId="0" applyFont="1" applyFill="1" applyBorder="1" applyAlignment="1">
      <alignment vertical="top"/>
    </xf>
    <xf numFmtId="0" fontId="11" fillId="5" borderId="12" xfId="0" applyFont="1" applyFill="1" applyBorder="1" applyAlignment="1">
      <alignment vertical="top"/>
    </xf>
    <xf numFmtId="0" fontId="11" fillId="5" borderId="4" xfId="0" applyFont="1" applyFill="1" applyBorder="1"/>
    <xf numFmtId="170" fontId="11" fillId="5" borderId="2" xfId="0" applyNumberFormat="1" applyFont="1" applyFill="1" applyBorder="1" applyAlignment="1">
      <alignment vertical="top"/>
    </xf>
    <xf numFmtId="0" fontId="34" fillId="5" borderId="1" xfId="0" applyFont="1" applyFill="1" applyBorder="1" applyAlignment="1">
      <alignment vertical="top" wrapText="1"/>
    </xf>
    <xf numFmtId="0" fontId="11" fillId="5" borderId="1" xfId="0" applyFont="1" applyFill="1" applyBorder="1" applyAlignment="1">
      <alignment horizontal="left"/>
    </xf>
    <xf numFmtId="170" fontId="11" fillId="5" borderId="1" xfId="0" applyNumberFormat="1" applyFont="1" applyFill="1" applyBorder="1" applyAlignment="1">
      <alignment horizontal="left"/>
    </xf>
    <xf numFmtId="170" fontId="28" fillId="5" borderId="1" xfId="0" applyNumberFormat="1" applyFont="1" applyFill="1" applyBorder="1" applyAlignment="1">
      <alignment horizontal="right" vertical="top"/>
    </xf>
    <xf numFmtId="170" fontId="11" fillId="0" borderId="1" xfId="0" applyNumberFormat="1" applyFont="1" applyBorder="1" applyAlignment="1">
      <alignment horizontal="right"/>
    </xf>
    <xf numFmtId="170" fontId="28" fillId="5" borderId="3" xfId="0" applyNumberFormat="1" applyFont="1" applyFill="1" applyBorder="1" applyAlignment="1">
      <alignment vertical="top"/>
    </xf>
    <xf numFmtId="17" fontId="1" fillId="5" borderId="1" xfId="0" applyNumberFormat="1" applyFont="1" applyFill="1" applyBorder="1" applyAlignment="1">
      <alignment horizontal="left" vertical="top" wrapText="1"/>
    </xf>
    <xf numFmtId="0" fontId="11" fillId="5" borderId="7" xfId="0" applyFont="1" applyFill="1" applyBorder="1" applyAlignment="1">
      <alignment vertical="top" wrapText="1"/>
    </xf>
    <xf numFmtId="0" fontId="11" fillId="5" borderId="3" xfId="0" applyFont="1" applyFill="1" applyBorder="1"/>
    <xf numFmtId="0" fontId="11" fillId="5" borderId="6" xfId="0" applyFont="1" applyFill="1" applyBorder="1"/>
    <xf numFmtId="170" fontId="11" fillId="5" borderId="12" xfId="0" applyNumberFormat="1" applyFont="1" applyFill="1" applyBorder="1"/>
    <xf numFmtId="0" fontId="24" fillId="0" borderId="0" xfId="0" applyFont="1"/>
    <xf numFmtId="0" fontId="40" fillId="0" borderId="0" xfId="0" applyFont="1"/>
    <xf numFmtId="0" fontId="24" fillId="0" borderId="0" xfId="0" applyFont="1" applyAlignment="1">
      <alignment vertical="center"/>
    </xf>
    <xf numFmtId="165" fontId="11" fillId="5" borderId="5" xfId="0" applyNumberFormat="1" applyFont="1" applyFill="1" applyBorder="1" applyAlignment="1">
      <alignment vertical="top"/>
    </xf>
    <xf numFmtId="170" fontId="29" fillId="5" borderId="1" xfId="0" applyNumberFormat="1" applyFont="1" applyFill="1" applyBorder="1" applyAlignment="1">
      <alignment vertical="top"/>
    </xf>
    <xf numFmtId="0" fontId="11" fillId="4" borderId="13" xfId="0" applyFont="1" applyFill="1" applyBorder="1" applyAlignment="1">
      <alignment vertical="top" wrapText="1"/>
    </xf>
    <xf numFmtId="0" fontId="41" fillId="0" borderId="0" xfId="0" applyFont="1" applyAlignment="1">
      <alignment vertical="center"/>
    </xf>
    <xf numFmtId="0" fontId="11" fillId="5" borderId="3" xfId="0" applyFont="1" applyFill="1" applyBorder="1" applyAlignment="1">
      <alignment vertical="top"/>
    </xf>
    <xf numFmtId="0" fontId="12" fillId="5" borderId="3" xfId="1" applyFill="1" applyBorder="1" applyAlignment="1">
      <alignment vertical="top" wrapText="1"/>
    </xf>
    <xf numFmtId="170" fontId="11" fillId="5" borderId="3" xfId="0" applyNumberFormat="1" applyFont="1" applyFill="1" applyBorder="1" applyAlignment="1">
      <alignment horizontal="right" vertical="top"/>
    </xf>
    <xf numFmtId="170" fontId="11" fillId="5" borderId="3" xfId="0" applyNumberFormat="1" applyFont="1" applyFill="1" applyBorder="1" applyAlignment="1">
      <alignment vertical="top"/>
    </xf>
    <xf numFmtId="0" fontId="11" fillId="5" borderId="6" xfId="0" applyFont="1" applyFill="1" applyBorder="1" applyAlignment="1">
      <alignment vertical="top" wrapText="1"/>
    </xf>
    <xf numFmtId="170" fontId="11" fillId="5" borderId="0" xfId="0" applyNumberFormat="1" applyFont="1" applyFill="1" applyAlignment="1">
      <alignment vertical="top"/>
    </xf>
    <xf numFmtId="170" fontId="11" fillId="5" borderId="0" xfId="0" applyNumberFormat="1" applyFont="1" applyFill="1"/>
    <xf numFmtId="170" fontId="11" fillId="5" borderId="3" xfId="0" applyNumberFormat="1" applyFont="1" applyFill="1" applyBorder="1"/>
    <xf numFmtId="0" fontId="11" fillId="5" borderId="2" xfId="0" applyFont="1" applyFill="1" applyBorder="1"/>
    <xf numFmtId="0" fontId="11" fillId="5" borderId="13" xfId="0" applyFont="1" applyFill="1" applyBorder="1" applyAlignment="1">
      <alignment vertical="top" wrapText="1"/>
    </xf>
    <xf numFmtId="0" fontId="12" fillId="5" borderId="13" xfId="1" applyFill="1" applyBorder="1" applyAlignment="1">
      <alignment vertical="top" wrapText="1"/>
    </xf>
    <xf numFmtId="0" fontId="11" fillId="5" borderId="14" xfId="0" applyFont="1" applyFill="1" applyBorder="1" applyAlignment="1">
      <alignment vertical="top" wrapText="1"/>
    </xf>
    <xf numFmtId="0" fontId="11" fillId="5" borderId="13" xfId="0" applyFont="1" applyFill="1" applyBorder="1" applyAlignment="1">
      <alignment vertical="top"/>
    </xf>
    <xf numFmtId="170" fontId="11" fillId="5" borderId="13" xfId="0" applyNumberFormat="1" applyFont="1" applyFill="1" applyBorder="1" applyAlignment="1">
      <alignment vertical="top"/>
    </xf>
    <xf numFmtId="170" fontId="11" fillId="5" borderId="13" xfId="0" applyNumberFormat="1" applyFont="1" applyFill="1" applyBorder="1" applyAlignment="1">
      <alignment horizontal="right" vertical="top"/>
    </xf>
    <xf numFmtId="16" fontId="11" fillId="5" borderId="15" xfId="0" applyNumberFormat="1" applyFont="1" applyFill="1" applyBorder="1" applyAlignment="1">
      <alignment vertical="top"/>
    </xf>
    <xf numFmtId="165" fontId="11" fillId="5" borderId="13" xfId="0" applyNumberFormat="1" applyFont="1" applyFill="1" applyBorder="1" applyAlignment="1">
      <alignment vertical="top"/>
    </xf>
    <xf numFmtId="170" fontId="11" fillId="5" borderId="15" xfId="0" applyNumberFormat="1" applyFont="1" applyFill="1" applyBorder="1" applyAlignment="1">
      <alignment vertical="top"/>
    </xf>
    <xf numFmtId="170" fontId="11" fillId="5" borderId="15" xfId="0" applyNumberFormat="1" applyFont="1" applyFill="1" applyBorder="1" applyAlignment="1">
      <alignment horizontal="right" vertical="top"/>
    </xf>
    <xf numFmtId="170" fontId="28" fillId="5" borderId="15" xfId="0" applyNumberFormat="1" applyFont="1" applyFill="1" applyBorder="1" applyAlignment="1">
      <alignment vertical="top"/>
    </xf>
    <xf numFmtId="0" fontId="11" fillId="5" borderId="15" xfId="0" applyFont="1" applyFill="1" applyBorder="1" applyAlignment="1">
      <alignment vertical="top"/>
    </xf>
    <xf numFmtId="0" fontId="11" fillId="0" borderId="1" xfId="0" applyFont="1" applyBorder="1" applyAlignment="1">
      <alignment horizontal="left" vertical="top" wrapText="1"/>
    </xf>
    <xf numFmtId="16" fontId="11" fillId="5" borderId="1" xfId="0" applyNumberFormat="1" applyFont="1" applyFill="1" applyBorder="1" applyAlignment="1">
      <alignment vertical="top" wrapText="1"/>
    </xf>
    <xf numFmtId="0" fontId="42" fillId="0" borderId="0" xfId="0" applyFont="1"/>
    <xf numFmtId="0" fontId="11" fillId="4" borderId="1" xfId="0" applyFont="1" applyFill="1" applyBorder="1" applyAlignment="1">
      <alignment horizontal="left" vertical="top" wrapText="1"/>
    </xf>
    <xf numFmtId="14" fontId="11" fillId="5" borderId="1" xfId="0" applyNumberFormat="1" applyFont="1" applyFill="1" applyBorder="1" applyAlignment="1">
      <alignment vertical="top" wrapText="1"/>
    </xf>
    <xf numFmtId="170" fontId="44" fillId="0" borderId="1" xfId="0" applyNumberFormat="1" applyFont="1" applyBorder="1"/>
    <xf numFmtId="0" fontId="44" fillId="4" borderId="1" xfId="0" applyFont="1" applyFill="1" applyBorder="1" applyAlignment="1">
      <alignment vertical="top" wrapText="1"/>
    </xf>
    <xf numFmtId="170" fontId="11" fillId="5" borderId="1" xfId="0" applyNumberFormat="1" applyFont="1" applyFill="1" applyBorder="1" applyAlignment="1">
      <alignment wrapText="1"/>
    </xf>
    <xf numFmtId="170" fontId="43" fillId="5" borderId="1" xfId="0" applyNumberFormat="1" applyFont="1" applyFill="1" applyBorder="1" applyAlignment="1">
      <alignment vertical="top"/>
    </xf>
    <xf numFmtId="170" fontId="44" fillId="5" borderId="1" xfId="0" applyNumberFormat="1" applyFont="1" applyFill="1" applyBorder="1" applyAlignment="1">
      <alignment wrapText="1"/>
    </xf>
    <xf numFmtId="0" fontId="45" fillId="5" borderId="0" xfId="0" applyFont="1" applyFill="1" applyAlignment="1">
      <alignment vertical="top"/>
    </xf>
    <xf numFmtId="165" fontId="44" fillId="5" borderId="1" xfId="0" applyNumberFormat="1" applyFont="1" applyFill="1" applyBorder="1" applyAlignment="1">
      <alignment vertical="top"/>
    </xf>
    <xf numFmtId="165" fontId="44" fillId="5" borderId="1" xfId="0" applyNumberFormat="1" applyFont="1" applyFill="1" applyBorder="1" applyAlignment="1">
      <alignment vertical="top" wrapText="1"/>
    </xf>
    <xf numFmtId="170" fontId="11" fillId="5" borderId="1" xfId="0" applyNumberFormat="1" applyFont="1" applyFill="1" applyBorder="1" applyAlignment="1">
      <alignment vertical="top" wrapText="1" shrinkToFit="1"/>
    </xf>
    <xf numFmtId="0" fontId="11" fillId="5" borderId="0" xfId="0" applyFont="1" applyFill="1"/>
    <xf numFmtId="0" fontId="11" fillId="5" borderId="1" xfId="0" applyFont="1" applyFill="1" applyBorder="1" applyAlignment="1">
      <alignment horizontal="right" vertical="top"/>
    </xf>
    <xf numFmtId="170" fontId="28" fillId="5" borderId="0" xfId="0" applyNumberFormat="1" applyFont="1" applyFill="1" applyAlignment="1">
      <alignment vertical="top"/>
    </xf>
    <xf numFmtId="170" fontId="1" fillId="5" borderId="1" xfId="0" applyNumberFormat="1" applyFont="1" applyFill="1" applyBorder="1" applyAlignment="1">
      <alignment horizontal="left" vertical="top"/>
    </xf>
    <xf numFmtId="170" fontId="1" fillId="0" borderId="1" xfId="0" applyNumberFormat="1" applyFont="1" applyBorder="1" applyAlignment="1">
      <alignment horizontal="left" vertical="top"/>
    </xf>
    <xf numFmtId="168" fontId="7" fillId="5" borderId="3" xfId="0" applyNumberFormat="1" applyFont="1" applyFill="1" applyBorder="1" applyAlignment="1">
      <alignment horizontal="left" vertical="top"/>
    </xf>
    <xf numFmtId="168" fontId="7" fillId="5" borderId="5" xfId="0" applyNumberFormat="1" applyFont="1" applyFill="1" applyBorder="1" applyAlignment="1">
      <alignment horizontal="left" vertical="top"/>
    </xf>
    <xf numFmtId="166" fontId="7" fillId="6" borderId="1" xfId="0" applyNumberFormat="1" applyFont="1" applyFill="1" applyBorder="1" applyAlignment="1">
      <alignment horizontal="left" vertical="top"/>
    </xf>
    <xf numFmtId="168" fontId="7" fillId="6" borderId="1" xfId="0" applyNumberFormat="1" applyFont="1" applyFill="1" applyBorder="1" applyAlignment="1">
      <alignment horizontal="left" vertical="top"/>
    </xf>
    <xf numFmtId="0" fontId="11" fillId="5" borderId="4" xfId="0" applyFont="1" applyFill="1" applyBorder="1" applyAlignment="1">
      <alignment vertical="top" wrapText="1"/>
    </xf>
    <xf numFmtId="14" fontId="11" fillId="5" borderId="13" xfId="0" applyNumberFormat="1" applyFont="1" applyFill="1" applyBorder="1" applyAlignment="1">
      <alignment vertical="top" wrapText="1"/>
    </xf>
    <xf numFmtId="0" fontId="11" fillId="5" borderId="16" xfId="0" applyFont="1" applyFill="1" applyBorder="1" applyAlignment="1">
      <alignment vertical="top" wrapText="1"/>
    </xf>
    <xf numFmtId="165" fontId="11" fillId="5" borderId="14" xfId="0" applyNumberFormat="1" applyFont="1" applyFill="1" applyBorder="1" applyAlignment="1">
      <alignment vertical="top" wrapText="1"/>
    </xf>
    <xf numFmtId="170" fontId="2" fillId="8" borderId="1" xfId="0" applyNumberFormat="1" applyFont="1" applyFill="1" applyBorder="1" applyAlignment="1">
      <alignment horizontal="left" vertical="top" wrapText="1"/>
    </xf>
    <xf numFmtId="166" fontId="2" fillId="8" borderId="1" xfId="0" applyNumberFormat="1" applyFont="1" applyFill="1" applyBorder="1" applyAlignment="1">
      <alignment horizontal="left" vertical="top" wrapText="1"/>
    </xf>
    <xf numFmtId="0" fontId="0" fillId="9" borderId="0" xfId="0" applyFill="1"/>
    <xf numFmtId="0" fontId="19" fillId="0" borderId="4" xfId="0" applyFont="1" applyBorder="1"/>
    <xf numFmtId="0" fontId="19" fillId="0" borderId="8" xfId="0" applyFont="1" applyBorder="1"/>
    <xf numFmtId="0" fontId="19" fillId="0" borderId="2"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Leanne Palmer" id="{448186CE-7251-4A22-ADAD-FB5415DC697F}" userId="S::LEANNE.PALMER@planninginspectorate.gov.uk::edaa59af-63cc-425a-aaa8-783ebc5bc364" providerId="AD"/>
  <person displayName="Sophie Coates" id="{69ABBD3F-F6AA-4AA8-85FC-1B253D6CC19B}" userId="S::sophie.coates.ce@planninginspectorate.gov.uk::1432df21-24f2-4dcb-8240-9be956fd4ca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5-14T08:17:02.67" personId="{69ABBD3F-F6AA-4AA8-85FC-1B253D6CC19B}" id="{FC7F3D7F-901E-4C26-8FF4-E8DFB9DE2B8C}">
    <text>Do we need a section for each of these three references? What is the difference between first two?</text>
  </threadedComment>
  <threadedComment ref="A1" dT="2026-05-14T11:55:55.46" personId="{69ABBD3F-F6AA-4AA8-85FC-1B253D6CC19B}" id="{989F177D-4966-4463-AB2B-B192BC71EE58}" parentId="{FC7F3D7F-901E-4C26-8FF4-E8DFB9DE2B8C}">
    <text>LPA ref is same as Horizon LPA cross reference field?</text>
  </threadedComment>
  <threadedComment ref="C1" dT="2026-05-14T08:18:10.01" personId="{69ABBD3F-F6AA-4AA8-85FC-1B253D6CC19B}" id="{91CB76EA-ED42-42F9-9890-16A71B308914}">
    <text>Assuming the selected options will only be designated LPAs? Will there ever be a situation where you receive anything from any other councils?</text>
  </threadedComment>
  <threadedComment ref="D1" dT="2026-05-14T08:18:37.73" personId="{69ABBD3F-F6AA-4AA8-85FC-1B253D6CC19B}" id="{2B6AFD2A-B02E-4E18-A582-2C59A35116A0}">
    <text>Can this go into description of proposal? Or does it need to be its own field?</text>
  </threadedComment>
  <threadedComment ref="E1" dT="2026-05-14T08:18:58.75" personId="{69ABBD3F-F6AA-4AA8-85FC-1B253D6CC19B}" id="{A68FB22B-7C36-4711-8B19-B88144AE8502}">
    <text>List of specialisms likely?</text>
  </threadedComment>
  <threadedComment ref="E1" dT="2026-05-14T08:19:14.68" personId="{69ABBD3F-F6AA-4AA8-85FC-1B253D6CC19B}" id="{412930F6-EA68-4CC7-8944-B10B0BA776DB}" parentId="{A68FB22B-7C36-4711-8B19-B88144AE8502}">
    <text>Band 1, 2, 3?</text>
  </threadedComment>
  <threadedComment ref="F1" dT="2026-05-14T10:22:29.47" personId="{69ABBD3F-F6AA-4AA8-85FC-1B253D6CC19B}" id="{57A9442F-6306-4EB8-9B8F-DFE4631C45DE}">
    <text>Are you storing contact details for applicant somewhere?</text>
  </threadedComment>
  <threadedComment ref="H1" dT="2026-05-14T08:20:41.12" personId="{69ABBD3F-F6AA-4AA8-85FC-1B253D6CC19B}" id="{6AD1952C-DB4A-4E75-AD15-B8A9329078DD}">
    <text>Do you have a full list of types of application types? Are they the same as the crown list or different?</text>
  </threadedComment>
  <threadedComment ref="H1" dT="2026-05-14T10:48:27.60" personId="{69ABBD3F-F6AA-4AA8-85FC-1B253D6CC19B}" id="{D0AC4ED9-D7E8-4DF1-9AEA-5AA567CD1352}" parentId="{6AD1952C-DB4A-4E75-AD15-B8A9329078DD}">
    <text>Waiting for enums but details on Horizon under Application type look slightly different</text>
  </threadedComment>
  <threadedComment ref="I1" dT="2026-05-14T08:21:23.64" personId="{69ABBD3F-F6AA-4AA8-85FC-1B253D6CC19B}" id="{B9881E1C-2679-4134-96E0-999AFE0C88D1}">
    <text>Can this be a Yes/No field and anything else goes into notes?</text>
  </threadedComment>
  <threadedComment ref="I1" dT="2026-05-14T10:23:38.68" personId="{69ABBD3F-F6AA-4AA8-85FC-1B253D6CC19B}" id="{C37212A4-5659-4F9A-BA4E-E77573B91D12}" parentId="{B9881E1C-2679-4134-96E0-999AFE0C88D1}">
    <text>What is UDC (row 8)?</text>
  </threadedComment>
  <threadedComment ref="J1" dT="2026-05-14T08:30:51.56" personId="{69ABBD3F-F6AA-4AA8-85FC-1B253D6CC19B}" id="{2CB03E4C-90BC-4817-8D0B-946838EFA0D6}">
    <text>Discuss the pros and cons of being one journey vs seperate cases</text>
  </threadedComment>
  <threadedComment ref="J1" dT="2026-05-14T10:24:06.72" personId="{69ABBD3F-F6AA-4AA8-85FC-1B253D6CC19B}" id="{BC207C2F-7811-43DA-8404-1A41EC886417}" parentId="{2CB03E4C-90BC-4817-8D0B-946838EFA0D6}">
    <text xml:space="preserve">When would LPA ref be here? </text>
  </threadedComment>
  <threadedComment ref="K1" dT="2026-05-14T10:19:28.29" personId="{69ABBD3F-F6AA-4AA8-85FC-1B253D6CC19B}" id="{D105436E-F284-47BC-A28A-AA88A7D03850}">
    <text>When would it be N/A or blank?</text>
  </threadedComment>
  <threadedComment ref="K1" dT="2026-05-14T12:31:30.05" personId="{69ABBD3F-F6AA-4AA8-85FC-1B253D6CC19B}" id="{7B955A9B-E18C-4E6C-849F-7D33B75AD7B2}" parentId="{D105436E-F284-47BC-A28A-AA88A7D03850}">
    <text>Is this the same as Application fee due on Horizon or is his an earlier agreed fee?</text>
  </threadedComment>
  <threadedComment ref="L1" dT="2026-05-14T08:31:10.58" personId="{69ABBD3F-F6AA-4AA8-85FC-1B253D6CC19B}" id="{88781C4A-1F4A-439B-B631-4A8142F4BE83}">
    <text>Letter of intent?</text>
  </threadedComment>
  <threadedComment ref="O1" dT="2026-05-14T10:28:22.18" personId="{69ABBD3F-F6AA-4AA8-85FC-1B253D6CC19B}" id="{A46241A1-D51D-4498-976B-28EF95198219}">
    <text>Is this always the same as Application Description on Horizon? Can they be one field?</text>
  </threadedComment>
  <threadedComment ref="P1" dT="2026-05-14T10:50:26.87" personId="{69ABBD3F-F6AA-4AA8-85FC-1B253D6CC19B}" id="{4F07029F-34B3-4FAF-959A-15F273B33057}">
    <text>Potentially need more than one inspector field if different inspectors are required for different stages? Pre-app to application, but also validation to case?</text>
  </threadedComment>
  <threadedComment ref="P1" dT="2026-05-14T11:45:27.97" personId="{69ABBD3F-F6AA-4AA8-85FC-1B253D6CC19B}" id="{B177ACEC-91D2-4692-80E2-2ED7CE5CA503}" parentId="{4F07029F-34B3-4FAF-959A-15F273B33057}">
    <text>On non-major do we need to include a separate field for planning officer? Or do we include in the question 'This could also be a planning officer'?</text>
  </threadedComment>
  <threadedComment ref="S1" dT="2026-05-14T12:29:57.15" personId="{69ABBD3F-F6AA-4AA8-85FC-1B253D6CC19B}" id="{618CF914-276E-4C2B-B064-5D7E5CCB85B5}">
    <text>Same as 'Application fee due' or 'Application fee' under fees received on Horizon?</text>
  </threadedComment>
  <threadedComment ref="S1" dT="2026-05-14T12:30:33.23" personId="{69ABBD3F-F6AA-4AA8-85FC-1B253D6CC19B}" id="{30C45A3B-0F95-4278-B0BB-048DA00A1C10}" parentId="{618CF914-276E-4C2B-B064-5D7E5CCB85B5}">
    <text>Application fee notes on Horizon, could these go into general notes? Or do they need to be separated?</text>
  </threadedComment>
  <threadedComment ref="T1" dT="2026-05-14T10:55:47.13" personId="{69ABBD3F-F6AA-4AA8-85FC-1B253D6CC19B}" id="{28709D4B-8503-4F08-B378-CC8F4D10739B}">
    <text>Letter acknowledging application</text>
  </threadedComment>
  <threadedComment ref="U1" dT="2026-05-14T10:57:40.09" personId="{69ABBD3F-F6AA-4AA8-85FC-1B253D6CC19B}" id="{C9449A2E-B139-41C7-9CCD-CDC670F2E5A5}">
    <text>What does this mean? And when does this happen?</text>
  </threadedComment>
  <threadedComment ref="U1" dT="2026-05-14T11:10:03.03" personId="{69ABBD3F-F6AA-4AA8-85FC-1B253D6CC19B}" id="{755D3FDC-F06F-44F7-97DE-2AAAE986043E}" parentId="{C9449A2E-B139-41C7-9CCD-CDC670F2E5A5}">
    <text>Is this asking finance to set up a new customer?</text>
  </threadedComment>
  <threadedComment ref="U1" dT="2026-05-14T11:11:47.84" personId="{69ABBD3F-F6AA-4AA8-85FC-1B253D6CC19B}" id="{BF59C4A5-2AB2-4EA3-8800-5C6D956E17FC}" parentId="{C9449A2E-B139-41C7-9CCD-CDC670F2E5A5}">
    <text>Do we need a field for customer number?</text>
  </threadedComment>
  <threadedComment ref="V1" dT="2026-05-14T10:58:30.07" personId="{69ABBD3F-F6AA-4AA8-85FC-1B253D6CC19B}" id="{A076B265-9A99-4BF9-86F8-195724AECB7C}">
    <text>Application received and information requested</text>
  </threadedComment>
  <threadedComment ref="V1" dT="2026-05-14T11:59:12.39" personId="{69ABBD3F-F6AA-4AA8-85FC-1B253D6CC19B}" id="{6A7F8D32-E35F-4AC1-B0AE-DD932A2F7691}" parentId="{A076B265-9A99-4BF9-86F8-195724AECB7C}">
    <text>Is this the same field as Date information sent to LPA (Article 12) on Horizon?</text>
  </threadedComment>
  <threadedComment ref="W1" dT="2026-05-14T10:59:33.25" personId="{69ABBD3F-F6AA-4AA8-85FC-1B253D6CC19B}" id="{1CCBE078-9FB0-4640-8B5C-D4E0B3F24B43}">
    <text>What does this mean and when does this happen?</text>
  </threadedComment>
  <threadedComment ref="W1" dT="2026-05-14T11:11:03.14" personId="{69ABBD3F-F6AA-4AA8-85FC-1B253D6CC19B}" id="{8D57EC8A-CBFF-421B-9237-1363B8AEE20D}" parentId="{1CCBE078-9FB0-4640-8B5C-D4E0B3F24B43}">
    <text>Is this the invoice request?</text>
  </threadedComment>
  <threadedComment ref="X1" dT="2026-05-14T11:00:13.83" personId="{69ABBD3F-F6AA-4AA8-85FC-1B253D6CC19B}" id="{7305E6AC-0D80-4FBF-AF51-0FC7CF7C337B}">
    <text>Letter sent if application is invalid and further information is requested</text>
  </threadedComment>
  <threadedComment ref="Y1" dT="2026-05-14T11:00:46.78" personId="{69ABBD3F-F6AA-4AA8-85FC-1B253D6CC19B}" id="{F4B9A658-2CCA-4209-9BE9-0141323BA034}">
    <text>Is this if further info has been requested?</text>
  </threadedComment>
  <threadedComment ref="Z1" dT="2026-05-14T12:33:18.47" personId="{69ABBD3F-F6AA-4AA8-85FC-1B253D6CC19B}" id="{0C1E3CA5-B54D-4A12-987D-7D5ECBCF2B7A}">
    <text>Same as 'Application fee received date' on Horizon?</text>
  </threadedComment>
  <threadedComment ref="AA1" dT="2026-05-14T11:01:17.22" personId="{69ABBD3F-F6AA-4AA8-85FC-1B253D6CC19B}" id="{20694593-4039-48EE-8E94-CF9CA269E933}">
    <text>Only valid once fee has been paid and all docs have been received</text>
  </threadedComment>
  <threadedComment ref="AC1" dT="2026-05-14T11:02:20.16" personId="{69ABBD3F-F6AA-4AA8-85FC-1B253D6CC19B}" id="{6B8A0D29-099A-4E5B-AF04-F6EA4D08AF58}">
    <text>Is this something can be in note format detailed on the case going forward, or will it need to be shown next to the document itself?</text>
  </threadedComment>
  <threadedComment ref="AE1" dT="2026-05-14T11:05:59.44" personId="{69ABBD3F-F6AA-4AA8-85FC-1B253D6CC19B}" id="{874DAC06-4CCD-43A5-8A6D-E77B29D13C97}">
    <text>Application valid and proceeding</text>
  </threadedComment>
  <threadedComment ref="AF1" dT="2026-05-14T12:00:23.69" personId="{69ABBD3F-F6AA-4AA8-85FC-1B253D6CC19B}" id="{5B54FA65-DC79-4AAF-B0E3-7E55AB342F9A}">
    <text>Is this the same as 'Date information returned from LPA (Article 14)' on Horizon?</text>
  </threadedComment>
  <threadedComment ref="AG1" dT="2026-05-14T11:21:18.20" personId="{69ABBD3F-F6AA-4AA8-85FC-1B253D6CC19B}" id="{6B0DC3CB-1F18-44D7-A991-AAEBC425E939}">
    <text>Is this the Community Infrastructure Levy, when would this be relevant?</text>
  </threadedComment>
  <threadedComment ref="AG1" dT="2026-05-14T11:23:28.61" personId="{69ABBD3F-F6AA-4AA8-85FC-1B253D6CC19B}" id="{46D2D8C2-3833-476F-BFDB-ED096706EFB3}" parentId="{6B0DC3CB-1F18-44D7-A991-AAEBC425E939}">
    <text>Can we use the same question as for Crown: Is the application liable for the community infrastructure levy (CIL)? And if yes, does this require a date field?</text>
  </threadedComment>
  <threadedComment ref="AG1" dT="2026-05-14T11:47:59.04" personId="{69ABBD3F-F6AA-4AA8-85FC-1B253D6CC19B}" id="{80733742-7EC0-4F49-8332-D9044DE2EA9E}" parentId="{6B0DC3CB-1F18-44D7-A991-AAEBC425E939}">
    <text>On non-major there is a field 'CIL amount' - is this only required for non-major?</text>
  </threadedComment>
  <threadedComment ref="AH1" dT="2026-05-14T09:06:00.46" personId="{69ABBD3F-F6AA-4AA8-85FC-1B253D6CC19B}" id="{A727384E-622F-4E2A-B37A-9A8684EE97FE}">
    <text>Environmental services team</text>
  </threadedComment>
  <threadedComment ref="AH1" dT="2026-05-14T09:08:32.06" personId="{69ABBD3F-F6AA-4AA8-85FC-1B253D6CC19B}" id="{3F4B88D7-F551-4691-98B9-87D1FE406F99}" parentId="{A727384E-622F-4E2A-B37A-9A8684EE97FE}">
    <text>have 3 weeks from valid date for EST (Environmental services team)
Only sent to EST for major cases</text>
  </threadedComment>
  <threadedComment ref="AH1" dT="2026-05-14T11:24:04.46" personId="{69ABBD3F-F6AA-4AA8-85FC-1B253D6CC19B}" id="{79A197E7-A3B5-444C-B735-62C43A02613E}" parentId="{A727384E-622F-4E2A-B37A-9A8684EE97FE}">
    <text>Again are you happy with the same format of Crown on this?</text>
  </threadedComment>
  <threadedComment ref="AH1" dT="2026-05-14T13:29:55.07" personId="{69ABBD3F-F6AA-4AA8-85FC-1B253D6CC19B}" id="{5A669A2B-09C0-4EAD-B0CA-F352D8900355}" parentId="{A727384E-622F-4E2A-B37A-9A8684EE97FE}">
    <text>Would you ever do a screening for a pre-application?</text>
  </threadedComment>
  <threadedComment ref="AI1" dT="2026-05-14T11:14:47.91" personId="{69ABBD3F-F6AA-4AA8-85FC-1B253D6CC19B}" id="{218A44A8-775C-4DF1-A0B1-B1509EB09A74}">
    <text>Often send just to be sure, but not often required</text>
  </threadedComment>
  <threadedComment ref="AJ1" dT="2026-05-14T11:15:58.30" personId="{69ABBD3F-F6AA-4AA8-85FC-1B253D6CC19B}" id="{40956590-99A9-4E6E-ACCC-06740DB796C1}">
    <text>Is this the same as 'Representation period opens' on Horizon?</text>
  </threadedComment>
  <threadedComment ref="AK1" dT="2026-05-14T11:16:16.94" personId="{69ABBD3F-F6AA-4AA8-85FC-1B253D6CC19B}" id="{F332E4E8-8908-4C07-ABED-4A9AD17A3055}">
    <text>Is this the same as 'Representation period closes' on Horizon?</text>
  </threadedComment>
  <threadedComment ref="AL1" dT="2026-05-14T12:02:10.44" personId="{69ABBD3F-F6AA-4AA8-85FC-1B253D6CC19B}" id="{21A937CC-3067-469A-AE6F-2B4000AB16A4}">
    <text>Is this the same as 'Date neighbours notified (by LPA)' on Horizon?</text>
  </threadedComment>
  <threadedComment ref="AM1" dT="2026-05-14T11:25:19.58" personId="{69ABBD3F-F6AA-4AA8-85FC-1B253D6CC19B}" id="{9E9F100C-2A67-4B70-93D6-FA6C298C9685}">
    <text>Target date</text>
  </threadedComment>
  <threadedComment ref="AM1" dT="2026-05-14T11:28:48.89" personId="{69ABBD3F-F6AA-4AA8-85FC-1B253D6CC19B}" id="{CCA2DED4-D220-4544-ACC4-0A7AB45ABA13}" parentId="{9E9F100C-2A67-4B70-93D6-FA6C298C9685}">
    <text>Is this always the same date as consultations deadline? Do we need two separate fields?</text>
  </threadedComment>
  <threadedComment ref="AN1" dT="2026-05-14T11:25:56.93" personId="{69ABBD3F-F6AA-4AA8-85FC-1B253D6CC19B}" id="{8080E1C0-E35C-4A95-9507-056D2EF9FCA4}">
    <text>Do we want to split these out into separate fields? Date placed, where, cost, reference?</text>
  </threadedComment>
  <threadedComment ref="AN1" dT="2026-05-14T12:02:43.77" personId="{69ABBD3F-F6AA-4AA8-85FC-1B253D6CC19B}" id="{8BB3929E-A08B-48D4-8CC5-1527E77FFEF1}" parentId="{8080E1C0-E35C-4A95-9507-056D2EF9FCA4}">
    <text>Is this the same as 'Newspaper advert date' on Horizon? And/or 'Site notice date (Article 14)?</text>
  </threadedComment>
  <threadedComment ref="AP1" dT="2026-05-14T11:29:58.33" personId="{69ABBD3F-F6AA-4AA8-85FC-1B253D6CC19B}" id="{1A7D5C88-576F-450E-8E0A-C70EF415271E}">
    <text>Is there any difference in this date to the consultations deadline?</text>
  </threadedComment>
  <threadedComment ref="AQ1" dT="2026-05-14T12:07:37.17" personId="{69ABBD3F-F6AA-4AA8-85FC-1B253D6CC19B}" id="{A7348A0D-BE63-41C4-B2C6-091D24C8C753}">
    <text>Is this the same as 'Date reresentations published (Article 21)' on Horizon?</text>
  </threadedComment>
  <threadedComment ref="AR1" dT="2026-05-14T11:33:01.11" personId="{69ABBD3F-F6AA-4AA8-85FC-1B253D6CC19B}" id="{B3C3339D-209F-4ADB-BDA5-7A667F0C5457}">
    <text>When would this be done vs not done? Where is letter 25?</text>
  </threadedComment>
  <threadedComment ref="AS1" dT="2026-05-14T11:33:22.42" personId="{69ABBD3F-F6AA-4AA8-85FC-1B253D6CC19B}" id="{1F2C85A7-DBEE-4766-88A7-42131AD0D569}">
    <text>Not a CMC it would be adhoc meetings about the case - change title</text>
  </threadedComment>
  <threadedComment ref="AT1" dT="2026-05-14T11:33:45.44" personId="{69ABBD3F-F6AA-4AA8-85FC-1B253D6CC19B}" id="{C7430033-C730-4DF9-9AF3-08EE93F4320A}">
    <text>Split these fields out into type and date</text>
  </threadedComment>
  <threadedComment ref="AU1" dT="2026-05-14T11:35:36.79" personId="{69ABBD3F-F6AA-4AA8-85FC-1B253D6CC19B}" id="{B994E4CE-8CE4-4897-9827-FB577C1A73F6}">
    <text>What details need to be recorded generally for reconsultation? Do we replace any original dates or does it need a new section?</text>
  </threadedComment>
  <threadedComment ref="AW1" dT="2026-05-14T11:36:56.45" personId="{69ABBD3F-F6AA-4AA8-85FC-1B253D6CC19B}" id="{7230597F-7FCA-4C68-9C2F-B1C254CD3CB5}">
    <text xml:space="preserve">Pre hearing note and associated agenda. Sent 2 weeks before hearing for major and 1 week for non-major. </text>
  </threadedComment>
  <threadedComment ref="AX1" dT="2026-05-14T08:54:51.65" personId="{69ABBD3F-F6AA-4AA8-85FC-1B253D6CC19B}" id="{B6BB2327-868B-4F2E-95B8-06B17B11BCCB}">
    <text>Section 106 (S106) agreement submission is a legally binding document between developers and local planning authorities, submitted during the planning application process to secure public benefits and infrastructure</text>
  </threadedComment>
  <threadedComment ref="AX1" dT="2026-05-14T08:55:02.40" personId="{69ABBD3F-F6AA-4AA8-85FC-1B253D6CC19B}" id="{EE47F81C-9422-4889-884F-AA7C2C739283}" parentId="{B6BB2327-868B-4F2E-95B8-06B17B11BCCB}">
    <text>Where does this sit in the process?</text>
  </threadedComment>
  <threadedComment ref="AY1" dT="2026-05-14T11:40:19.09" personId="{69ABBD3F-F6AA-4AA8-85FC-1B253D6CC19B}" id="{E62E297F-6B5B-4D7F-B42B-78181FF98DF6}">
    <text>All start at written reps, inspector determines whether a case goes to hearing, hearing is unlikely for non-major</text>
  </threadedComment>
  <threadedComment ref="AY1" dT="2026-05-14T11:41:04.23" personId="{69ABBD3F-F6AA-4AA8-85FC-1B253D6CC19B}" id="{9541EEC3-AA30-460E-9BFA-6746E931BD45}" parentId="{E62E297F-6B5B-4D7F-B42B-78181FF98DF6}">
    <text>PCU - need to discuss recovery process with David Morgan</text>
  </threadedComment>
  <threadedComment ref="AZ1" dT="2026-05-14T11:40:40.62" personId="{69ABBD3F-F6AA-4AA8-85FC-1B253D6CC19B}" id="{904A9E76-68F5-45FB-BFE5-68FA7145ABBB}">
    <text>Do we need a start and end date? Or will it not ever go on for more than one day?</text>
  </threadedComment>
  <threadedComment ref="AZ1" dT="2026-05-14T11:50:15.75" personId="{69ABBD3F-F6AA-4AA8-85FC-1B253D6CC19B}" id="{099B9468-7B32-4E25-8A26-3C73976267F7}" parentId="{904A9E76-68F5-45FB-BFE5-68FA7145ABBB}">
    <text>Do we need to record time?</text>
  </threadedComment>
  <threadedComment ref="AZ1" dT="2026-05-14T12:35:49.62" personId="{69ABBD3F-F6AA-4AA8-85FC-1B253D6CC19B}" id="{6EDC71FD-D9D9-46B2-BBD3-B444BD6CD7A3}" parentId="{904A9E76-68F5-45FB-BFE5-68FA7145ABBB}">
    <text>There are notes on Horizon under procedure section, can these be under general notes?</text>
  </threadedComment>
  <threadedComment ref="BA1" dT="2026-05-14T11:41:32.77" personId="{69ABBD3F-F6AA-4AA8-85FC-1B253D6CC19B}" id="{F8E95640-587F-4D10-B0D8-C3AB077EF52B}">
    <text>Depend if EIA required 16 if yes, 13 if not. 8 weeks for non-major</text>
  </threadedComment>
  <threadedComment ref="BA1" dT="2026-05-14T12:10:04.64" personId="{69ABBD3F-F6AA-4AA8-85FC-1B253D6CC19B}" id="{3EEE2980-3EE1-4176-832E-901D522278C0}" parentId="{F8E95640-587F-4D10-B0D8-C3AB077EF52B}">
    <text>Target date changes - is it useful to have 'Extension of time Agreements target date' as well as original target date so both can be viewed?</text>
  </threadedComment>
  <threadedComment ref="BB1" dT="2026-05-14T11:51:19.52" personId="{69ABBD3F-F6AA-4AA8-85FC-1B253D6CC19B}" id="{07B43C21-ECD4-43ED-A3E8-13B310082E04}">
    <text>16 weeks for non-major</text>
  </threadedComment>
  <threadedComment ref="BC1" dT="2026-05-14T11:42:09.24" personId="{69ABBD3F-F6AA-4AA8-85FC-1B253D6CC19B}" id="{286852C0-B29C-48A7-98CE-38085357D204}">
    <text>How is it determined if a reader is required?</text>
  </threadedComment>
  <threadedComment ref="BE1" dT="2026-05-14T09:00:53.44" personId="{69ABBD3F-F6AA-4AA8-85FC-1B253D6CC19B}" id="{0E14B917-6642-4732-BF3D-57B1C3A9AEDE}">
    <text>Owen mentioned a case would always be granted with conditions, where is this currently being tracked? Should the conditions be detailed on the case?</text>
  </threadedComment>
  <threadedComment ref="BF1" dT="2026-05-14T09:04:29.93" personId="{69ABBD3F-F6AA-4AA8-85FC-1B253D6CC19B}" id="{18357876-9357-4914-837E-A7D344251150}">
    <text>Major: 13 weeks non EIA, 16 weeks EIA, 8 weeks non major from valid</text>
  </threadedComment>
  <threadedComment ref="AZ12" dT="2023-06-13T11:05:22.38" personId="{448186CE-7251-4A22-ADAD-FB5415DC697F}" id="{56EAFB08-00E9-4BAD-B859-B8E7062529E3}">
    <text>was 20 June 2023</text>
  </threadedComment>
</ThreadedComments>
</file>

<file path=xl/threadedComments/threadedComment2.xml><?xml version="1.0" encoding="utf-8"?>
<ThreadedComments xmlns="http://schemas.microsoft.com/office/spreadsheetml/2018/threadedcomments" xmlns:x="http://schemas.openxmlformats.org/spreadsheetml/2006/main">
  <threadedComment ref="P1" dT="2026-05-14T10:51:43.75" personId="{69ABBD3F-F6AA-4AA8-85FC-1B253D6CC19B}" id="{5C646F71-C4B7-4B23-AB36-25DBFB437927}">
    <text>Do we need to include a seperate field for planning officer? Or do we include in the question 'This could also be a planning officer'?</text>
  </threadedComment>
  <threadedComment ref="AT1" dT="2026-05-14T09:09:57.37" personId="{69ABBD3F-F6AA-4AA8-85FC-1B253D6CC19B}" id="{6997CC3C-AF19-41C6-9CE4-5EE1F8202ED6}">
    <text>Should be decided at validation</text>
  </threadedComment>
  <threadedComment ref="AV1" dT="2026-05-14T09:09:31.06" personId="{69ABBD3F-F6AA-4AA8-85FC-1B253D6CC19B}" id="{4E0DE548-8F7E-456F-9F47-2C44B8E96A02}">
    <text>Only relevant for major?</text>
  </threadedComment>
  <threadedComment ref="AY1" dT="2026-05-14T09:09:07.48" personId="{69ABBD3F-F6AA-4AA8-85FC-1B253D6CC19B}" id="{87CFBC40-BB86-44CA-8FB4-342FC5A44383}">
    <text>Is it always written reps?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polly.butlin@lichfields.uk" TargetMode="External"/><Relationship Id="rId13" Type="http://schemas.openxmlformats.org/officeDocument/2006/relationships/comments" Target="../comments1.xml"/><Relationship Id="rId3" Type="http://schemas.openxmlformats.org/officeDocument/2006/relationships/hyperlink" Target="mailto:jamie@planningdirect.co.uk" TargetMode="External"/><Relationship Id="rId7" Type="http://schemas.openxmlformats.org/officeDocument/2006/relationships/hyperlink" Target="mailto:locarroll@iceniprojects.com" TargetMode="External"/><Relationship Id="rId12" Type="http://schemas.openxmlformats.org/officeDocument/2006/relationships/vmlDrawing" Target="../drawings/vmlDrawing1.vml"/><Relationship Id="rId2" Type="http://schemas.openxmlformats.org/officeDocument/2006/relationships/hyperlink" Target="mailto:sheritage@iceniprojects.com" TargetMode="External"/><Relationship Id="rId1" Type="http://schemas.openxmlformats.org/officeDocument/2006/relationships/hyperlink" Target="mailto:Andrew.Thompson2@magairports.com%3E" TargetMode="External"/><Relationship Id="rId6" Type="http://schemas.openxmlformats.org/officeDocument/2006/relationships/hyperlink" Target="mailto:s.petrosino@nexusplanning.co.uk" TargetMode="External"/><Relationship Id="rId11" Type="http://schemas.openxmlformats.org/officeDocument/2006/relationships/printerSettings" Target="../printerSettings/printerSettings2.bin"/><Relationship Id="rId5" Type="http://schemas.openxmlformats.org/officeDocument/2006/relationships/hyperlink" Target="mailto:adrian@qedplanning.co.uk" TargetMode="External"/><Relationship Id="rId10" Type="http://schemas.openxmlformats.org/officeDocument/2006/relationships/hyperlink" Target="mailto:kcoleman@phase2planning.co.uk" TargetMode="External"/><Relationship Id="rId4" Type="http://schemas.openxmlformats.org/officeDocument/2006/relationships/hyperlink" Target="mailto:Neil.Osborn@dlpconsultants.co.uk" TargetMode="External"/><Relationship Id="rId9" Type="http://schemas.openxmlformats.org/officeDocument/2006/relationships/hyperlink" Target="mailto:s.bampton@pelham-structures.co.uk"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peter@pjbplanning.co.uk" TargetMode="External"/><Relationship Id="rId13" Type="http://schemas.openxmlformats.org/officeDocument/2006/relationships/hyperlink" Target="mailto:kate@am-plan.com" TargetMode="External"/><Relationship Id="rId18" Type="http://schemas.openxmlformats.org/officeDocument/2006/relationships/hyperlink" Target="mailto:Hollie.Renney@dlpconsultants.co.uk" TargetMode="External"/><Relationship Id="rId26" Type="http://schemas.openxmlformats.org/officeDocument/2006/relationships/hyperlink" Target="mailto:rob.booth@dwd-ltd.co.uk" TargetMode="External"/><Relationship Id="rId3" Type="http://schemas.openxmlformats.org/officeDocument/2006/relationships/hyperlink" Target="mailto:jarrod.spencer@weston-homes.com" TargetMode="External"/><Relationship Id="rId21" Type="http://schemas.openxmlformats.org/officeDocument/2006/relationships/hyperlink" Target="mailto:liz@barkerparry.co.uk" TargetMode="External"/><Relationship Id="rId7" Type="http://schemas.openxmlformats.org/officeDocument/2006/relationships/hyperlink" Target="mailto:richard.norman@lichfields.uk" TargetMode="External"/><Relationship Id="rId12" Type="http://schemas.openxmlformats.org/officeDocument/2006/relationships/hyperlink" Target="mailto:planrmds@gmail.com" TargetMode="External"/><Relationship Id="rId17" Type="http://schemas.openxmlformats.org/officeDocument/2006/relationships/hyperlink" Target="mailto:s.bampton@pelham-structures.co.uk" TargetMode="External"/><Relationship Id="rId25" Type="http://schemas.openxmlformats.org/officeDocument/2006/relationships/hyperlink" Target="mailto:liz@barkerparry.co.uk" TargetMode="External"/><Relationship Id="rId2" Type="http://schemas.openxmlformats.org/officeDocument/2006/relationships/hyperlink" Target="mailto:Adam.Conchie@carterjonas.co.uk" TargetMode="External"/><Relationship Id="rId16" Type="http://schemas.openxmlformats.org/officeDocument/2006/relationships/hyperlink" Target="mailto:S.brown@woolfbond.co.uk" TargetMode="External"/><Relationship Id="rId20" Type="http://schemas.openxmlformats.org/officeDocument/2006/relationships/hyperlink" Target="mailto:liz@barkerparry.co.uk" TargetMode="External"/><Relationship Id="rId29" Type="http://schemas.openxmlformats.org/officeDocument/2006/relationships/vmlDrawing" Target="../drawings/vmlDrawing2.vml"/><Relationship Id="rId1" Type="http://schemas.openxmlformats.org/officeDocument/2006/relationships/hyperlink" Target="mailto:Samuel.Dix@lowcarbon.com" TargetMode="External"/><Relationship Id="rId6" Type="http://schemas.openxmlformats.org/officeDocument/2006/relationships/hyperlink" Target="mailto:david.poole@weston-homes.com;" TargetMode="External"/><Relationship Id="rId11" Type="http://schemas.openxmlformats.org/officeDocument/2006/relationships/hyperlink" Target="mailto:Andrew.Thompson2@magairports.com" TargetMode="External"/><Relationship Id="rId24" Type="http://schemas.openxmlformats.org/officeDocument/2006/relationships/hyperlink" Target="mailto:rob.booth@dwd-ltd.co.uk" TargetMode="External"/><Relationship Id="rId5" Type="http://schemas.openxmlformats.org/officeDocument/2006/relationships/hyperlink" Target="mailto:S.brown@woolfbond.co.uk" TargetMode="External"/><Relationship Id="rId15" Type="http://schemas.openxmlformats.org/officeDocument/2006/relationships/hyperlink" Target="mailto:lewis.tomlinson@bridgeplanning.co.uk" TargetMode="External"/><Relationship Id="rId23" Type="http://schemas.openxmlformats.org/officeDocument/2006/relationships/hyperlink" Target="mailto:sstephenson@phase2planning.co.uk" TargetMode="External"/><Relationship Id="rId28" Type="http://schemas.openxmlformats.org/officeDocument/2006/relationships/printerSettings" Target="../printerSettings/printerSettings3.bin"/><Relationship Id="rId10" Type="http://schemas.openxmlformats.org/officeDocument/2006/relationships/hyperlink" Target="mailto:david@valleyenvironmental.org.uk" TargetMode="External"/><Relationship Id="rId19" Type="http://schemas.openxmlformats.org/officeDocument/2006/relationships/hyperlink" Target="mailto:Ed.Durrant@pegasusgroup.co.uk" TargetMode="External"/><Relationship Id="rId31" Type="http://schemas.microsoft.com/office/2017/10/relationships/threadedComment" Target="../threadedComments/threadedComment1.xml"/><Relationship Id="rId4" Type="http://schemas.openxmlformats.org/officeDocument/2006/relationships/hyperlink" Target="mailto:Peter.McKeown@carterjonas.co.uk;" TargetMode="External"/><Relationship Id="rId9" Type="http://schemas.openxmlformats.org/officeDocument/2006/relationships/hyperlink" Target="mailto:David.Jones@arplanning.co.uk" TargetMode="External"/><Relationship Id="rId14" Type="http://schemas.openxmlformats.org/officeDocument/2006/relationships/hyperlink" Target="mailto:max@spd-studio.co.uk" TargetMode="External"/><Relationship Id="rId22" Type="http://schemas.openxmlformats.org/officeDocument/2006/relationships/hyperlink" Target="mailto:Nigel@magentaplanning.com" TargetMode="External"/><Relationship Id="rId27" Type="http://schemas.openxmlformats.org/officeDocument/2006/relationships/hyperlink" Target="mailto:phoebe.conway@mulberryhomes.co.uk" TargetMode="External"/><Relationship Id="rId30"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6" Type="http://schemas.openxmlformats.org/officeDocument/2006/relationships/hyperlink" Target="mailto:threemagnetsplanning@gmail.com" TargetMode="External"/><Relationship Id="rId21" Type="http://schemas.openxmlformats.org/officeDocument/2006/relationships/hyperlink" Target="mailto:graham.peel@chantryarchitects.com" TargetMode="External"/><Relationship Id="rId42" Type="http://schemas.openxmlformats.org/officeDocument/2006/relationships/hyperlink" Target="mailto:mark.newman@agrippaarchitectural.com" TargetMode="External"/><Relationship Id="rId47" Type="http://schemas.openxmlformats.org/officeDocument/2006/relationships/hyperlink" Target="mailto:john.rooney@stokesmorgan.co.uk" TargetMode="External"/><Relationship Id="rId63" Type="http://schemas.openxmlformats.org/officeDocument/2006/relationships/hyperlink" Target="mailto:threemagnetsplanning@gmail.com" TargetMode="External"/><Relationship Id="rId68" Type="http://schemas.openxmlformats.org/officeDocument/2006/relationships/hyperlink" Target="mailto:colin.pemble@aspect360.co.uk" TargetMode="External"/><Relationship Id="rId84" Type="http://schemas.openxmlformats.org/officeDocument/2006/relationships/hyperlink" Target="mailto:john.rooney@stokesmorgan.co.uk" TargetMode="External"/><Relationship Id="rId89" Type="http://schemas.openxmlformats.org/officeDocument/2006/relationships/hyperlink" Target="mailto:colin.pemble@aspect360.co.uk" TargetMode="External"/><Relationship Id="rId16" Type="http://schemas.openxmlformats.org/officeDocument/2006/relationships/hyperlink" Target="mailto:elliott.paddon@rapleys.com" TargetMode="External"/><Relationship Id="rId11" Type="http://schemas.openxmlformats.org/officeDocument/2006/relationships/hyperlink" Target="mailto:Ollie.Collins@Lichfields.uk" TargetMode="External"/><Relationship Id="rId32" Type="http://schemas.openxmlformats.org/officeDocument/2006/relationships/hyperlink" Target="mailto:adam@barefootarchitects.co.uk" TargetMode="External"/><Relationship Id="rId37" Type="http://schemas.openxmlformats.org/officeDocument/2006/relationships/hyperlink" Target="mailto:colin.pemble@aspect360.co.uk" TargetMode="External"/><Relationship Id="rId53" Type="http://schemas.openxmlformats.org/officeDocument/2006/relationships/hyperlink" Target="mailto:john.rooney@stokesmorgan.co.uk" TargetMode="External"/><Relationship Id="rId58" Type="http://schemas.openxmlformats.org/officeDocument/2006/relationships/hyperlink" Target="mailto:avecdesign@mail.com" TargetMode="External"/><Relationship Id="rId74" Type="http://schemas.openxmlformats.org/officeDocument/2006/relationships/hyperlink" Target="mailto:kevin.morley@stokesmorgan.co.uk" TargetMode="External"/><Relationship Id="rId79" Type="http://schemas.openxmlformats.org/officeDocument/2006/relationships/hyperlink" Target="mailto:john.rooney@stokesmorgan.co.uk" TargetMode="External"/><Relationship Id="rId5" Type="http://schemas.openxmlformats.org/officeDocument/2006/relationships/hyperlink" Target="mailto:john.rooney@stokesmorgan.co.uk" TargetMode="External"/><Relationship Id="rId90" Type="http://schemas.openxmlformats.org/officeDocument/2006/relationships/hyperlink" Target="mailto:Jayne.Harding@aspect360.co.uk" TargetMode="External"/><Relationship Id="rId95" Type="http://schemas.openxmlformats.org/officeDocument/2006/relationships/comments" Target="../comments3.xml"/><Relationship Id="rId22" Type="http://schemas.openxmlformats.org/officeDocument/2006/relationships/hyperlink" Target="mailto:louise.hambleton@quod.com" TargetMode="External"/><Relationship Id="rId27" Type="http://schemas.openxmlformats.org/officeDocument/2006/relationships/hyperlink" Target="mailto:JamesSturgess@caldecottegroup.com" TargetMode="External"/><Relationship Id="rId43" Type="http://schemas.openxmlformats.org/officeDocument/2006/relationships/hyperlink" Target="mailto:john.rooney@stokesmorgan.co.uk" TargetMode="External"/><Relationship Id="rId48" Type="http://schemas.openxmlformats.org/officeDocument/2006/relationships/hyperlink" Target="mailto:tom@petergeorgetownplanning.com" TargetMode="External"/><Relationship Id="rId64" Type="http://schemas.openxmlformats.org/officeDocument/2006/relationships/hyperlink" Target="mailto:john.rooney@stokesmorgan.co.uk" TargetMode="External"/><Relationship Id="rId69" Type="http://schemas.openxmlformats.org/officeDocument/2006/relationships/hyperlink" Target="mailto:kevin.morley@stokesmorgan.co.uk" TargetMode="External"/><Relationship Id="rId8" Type="http://schemas.openxmlformats.org/officeDocument/2006/relationships/hyperlink" Target="mailto:threemagnetsplanning@gmail.com" TargetMode="External"/><Relationship Id="rId51" Type="http://schemas.openxmlformats.org/officeDocument/2006/relationships/hyperlink" Target="mailto:john.rooney@stokesmorgan.co.uk" TargetMode="External"/><Relationship Id="rId72" Type="http://schemas.openxmlformats.org/officeDocument/2006/relationships/hyperlink" Target="mailto:nicola.dea@icloud.com" TargetMode="External"/><Relationship Id="rId80" Type="http://schemas.openxmlformats.org/officeDocument/2006/relationships/hyperlink" Target="mailto:mark.tombs@ntrplanning.co.uk" TargetMode="External"/><Relationship Id="rId85" Type="http://schemas.openxmlformats.org/officeDocument/2006/relationships/hyperlink" Target="mailto:john.rooney@stokesmorgan.co.uk" TargetMode="External"/><Relationship Id="rId93" Type="http://schemas.openxmlformats.org/officeDocument/2006/relationships/printerSettings" Target="../printerSettings/printerSettings4.bin"/><Relationship Id="rId3" Type="http://schemas.openxmlformats.org/officeDocument/2006/relationships/hyperlink" Target="mailto:julian@jmsplanning.com" TargetMode="External"/><Relationship Id="rId12" Type="http://schemas.openxmlformats.org/officeDocument/2006/relationships/hyperlink" Target="mailto:john.rooney@stokesmorgan.co.uk" TargetMode="External"/><Relationship Id="rId17" Type="http://schemas.openxmlformats.org/officeDocument/2006/relationships/hyperlink" Target="mailto:john.rooney@stokesmorgan.co.uk" TargetMode="External"/><Relationship Id="rId25" Type="http://schemas.openxmlformats.org/officeDocument/2006/relationships/hyperlink" Target="mailto:swaplanning@outlook.com" TargetMode="External"/><Relationship Id="rId33" Type="http://schemas.openxmlformats.org/officeDocument/2006/relationships/hyperlink" Target="mailto:mark.tombs@ntrplanning.co.uk" TargetMode="External"/><Relationship Id="rId38" Type="http://schemas.openxmlformats.org/officeDocument/2006/relationships/hyperlink" Target="mailto:colin.pemble@aspect360.co.uk" TargetMode="External"/><Relationship Id="rId46" Type="http://schemas.openxmlformats.org/officeDocument/2006/relationships/hyperlink" Target="mailto:ben@dexterdesigns.co.uk" TargetMode="External"/><Relationship Id="rId59" Type="http://schemas.openxmlformats.org/officeDocument/2006/relationships/hyperlink" Target="mailto:elliott.paddon@rapleys.com" TargetMode="External"/><Relationship Id="rId67" Type="http://schemas.openxmlformats.org/officeDocument/2006/relationships/hyperlink" Target="mailto:david@beresford-smith.com" TargetMode="External"/><Relationship Id="rId20" Type="http://schemas.openxmlformats.org/officeDocument/2006/relationships/hyperlink" Target="mailto:Frances@healplanning.co.uk" TargetMode="External"/><Relationship Id="rId41" Type="http://schemas.openxmlformats.org/officeDocument/2006/relationships/hyperlink" Target="mailto:kevin.morley@stokesmorgan.co.uk" TargetMode="External"/><Relationship Id="rId54" Type="http://schemas.openxmlformats.org/officeDocument/2006/relationships/hyperlink" Target="mailto:john.rooney@stokesmorgan.co.uk" TargetMode="External"/><Relationship Id="rId62" Type="http://schemas.openxmlformats.org/officeDocument/2006/relationships/hyperlink" Target="mailto:elliott.paddon@rapleys.com" TargetMode="External"/><Relationship Id="rId70" Type="http://schemas.openxmlformats.org/officeDocument/2006/relationships/hyperlink" Target="mailto:john.rooney@stokesmorgan.co.uk" TargetMode="External"/><Relationship Id="rId75" Type="http://schemas.openxmlformats.org/officeDocument/2006/relationships/hyperlink" Target="mailto:james.newton@rapleys.com" TargetMode="External"/><Relationship Id="rId83" Type="http://schemas.openxmlformats.org/officeDocument/2006/relationships/hyperlink" Target="mailto:kevin.morley@stokesmorgan.co.uk" TargetMode="External"/><Relationship Id="rId88" Type="http://schemas.openxmlformats.org/officeDocument/2006/relationships/hyperlink" Target="mailto:mark@mwaplanning.co.uk" TargetMode="External"/><Relationship Id="rId91" Type="http://schemas.openxmlformats.org/officeDocument/2006/relationships/hyperlink" Target="mailto:john.rooney@stokesmorgan.co.uk" TargetMode="External"/><Relationship Id="rId96" Type="http://schemas.microsoft.com/office/2017/10/relationships/threadedComment" Target="../threadedComments/threadedComment2.xml"/><Relationship Id="rId1" Type="http://schemas.openxmlformats.org/officeDocument/2006/relationships/hyperlink" Target="mailto:howard@howardpeasearchitects.co.uk" TargetMode="External"/><Relationship Id="rId6" Type="http://schemas.openxmlformats.org/officeDocument/2006/relationships/hyperlink" Target="mailto:elliott.paddon@rapleys.com" TargetMode="External"/><Relationship Id="rId15" Type="http://schemas.openxmlformats.org/officeDocument/2006/relationships/hyperlink" Target="mailto:colin.pemble@aspect360.co.uk" TargetMode="External"/><Relationship Id="rId23" Type="http://schemas.openxmlformats.org/officeDocument/2006/relationships/hyperlink" Target="mailto:john.rooney@stokesmorgan.co.uk" TargetMode="External"/><Relationship Id="rId28" Type="http://schemas.openxmlformats.org/officeDocument/2006/relationships/hyperlink" Target="mailto:rebecca.morgan@stokesmorgan.co.uk" TargetMode="External"/><Relationship Id="rId36" Type="http://schemas.openxmlformats.org/officeDocument/2006/relationships/hyperlink" Target="mailto:colin.pemble@aspect360.co.uk" TargetMode="External"/><Relationship Id="rId49" Type="http://schemas.openxmlformats.org/officeDocument/2006/relationships/hyperlink" Target="mailto:rebecca.morgan@stokesmorgan.co.uk" TargetMode="External"/><Relationship Id="rId57" Type="http://schemas.openxmlformats.org/officeDocument/2006/relationships/hyperlink" Target="mailto:duncan@arrantland.com" TargetMode="External"/><Relationship Id="rId10" Type="http://schemas.openxmlformats.org/officeDocument/2006/relationships/hyperlink" Target="mailto:sandridgehouse@engineer.com" TargetMode="External"/><Relationship Id="rId31" Type="http://schemas.openxmlformats.org/officeDocument/2006/relationships/hyperlink" Target="mailto:threemagnetsplanning@gmail.com" TargetMode="External"/><Relationship Id="rId44" Type="http://schemas.openxmlformats.org/officeDocument/2006/relationships/hyperlink" Target="mailto:john.rooney@stokesmorgan.co.uk" TargetMode="External"/><Relationship Id="rId52" Type="http://schemas.openxmlformats.org/officeDocument/2006/relationships/hyperlink" Target="mailto:julie@planningventures.co.uk" TargetMode="External"/><Relationship Id="rId60" Type="http://schemas.openxmlformats.org/officeDocument/2006/relationships/hyperlink" Target="mailto:dan@habibohomes.co.uk" TargetMode="External"/><Relationship Id="rId65" Type="http://schemas.openxmlformats.org/officeDocument/2006/relationships/hyperlink" Target="mailto:john.rooney@stokesmorgan.co.uk" TargetMode="External"/><Relationship Id="rId73" Type="http://schemas.openxmlformats.org/officeDocument/2006/relationships/hyperlink" Target="mailto:elliott.paddon@rapleys.com" TargetMode="External"/><Relationship Id="rId78" Type="http://schemas.openxmlformats.org/officeDocument/2006/relationships/hyperlink" Target="mailto:dan@habibohomes.co.uk" TargetMode="External"/><Relationship Id="rId81" Type="http://schemas.openxmlformats.org/officeDocument/2006/relationships/hyperlink" Target="mailto:lyn@planningventures.co.uk" TargetMode="External"/><Relationship Id="rId86" Type="http://schemas.openxmlformats.org/officeDocument/2006/relationships/hyperlink" Target="mailto:john.rooney@stokesmorgan.co.uk" TargetMode="External"/><Relationship Id="rId94" Type="http://schemas.openxmlformats.org/officeDocument/2006/relationships/vmlDrawing" Target="../drawings/vmlDrawing3.vml"/><Relationship Id="rId4" Type="http://schemas.openxmlformats.org/officeDocument/2006/relationships/hyperlink" Target="mailto:howard@howardpeasearchitects.co.uk" TargetMode="External"/><Relationship Id="rId9" Type="http://schemas.openxmlformats.org/officeDocument/2006/relationships/hyperlink" Target="mailto:howard@howardpeasearchitects.co.uk" TargetMode="External"/><Relationship Id="rId13" Type="http://schemas.openxmlformats.org/officeDocument/2006/relationships/hyperlink" Target="mailto:john.rooney@stokesmorgan.co.uk" TargetMode="External"/><Relationship Id="rId18" Type="http://schemas.openxmlformats.org/officeDocument/2006/relationships/hyperlink" Target="mailto:louise.hambleton@quod.com" TargetMode="External"/><Relationship Id="rId39" Type="http://schemas.openxmlformats.org/officeDocument/2006/relationships/hyperlink" Target="mailto:charlottethomas2002@hotmail.co.uk" TargetMode="External"/><Relationship Id="rId34" Type="http://schemas.openxmlformats.org/officeDocument/2006/relationships/hyperlink" Target="mailto:lyn@planningventures.co.uk" TargetMode="External"/><Relationship Id="rId50" Type="http://schemas.openxmlformats.org/officeDocument/2006/relationships/hyperlink" Target="mailto:elliott.paddon@rapleys.com" TargetMode="External"/><Relationship Id="rId55" Type="http://schemas.openxmlformats.org/officeDocument/2006/relationships/hyperlink" Target="mailto:julie@planningventures.co.uk" TargetMode="External"/><Relationship Id="rId76" Type="http://schemas.openxmlformats.org/officeDocument/2006/relationships/hyperlink" Target="mailto:john.rooney@stokesmorgan.co.uk" TargetMode="External"/><Relationship Id="rId7" Type="http://schemas.openxmlformats.org/officeDocument/2006/relationships/hyperlink" Target="mailto:charlie@planware.co.uk" TargetMode="External"/><Relationship Id="rId71" Type="http://schemas.openxmlformats.org/officeDocument/2006/relationships/hyperlink" Target="mailto:john.rooney@stokesmorgan.co.uk" TargetMode="External"/><Relationship Id="rId92" Type="http://schemas.openxmlformats.org/officeDocument/2006/relationships/hyperlink" Target="mailto:louise.hambleton@quod.com" TargetMode="External"/><Relationship Id="rId2" Type="http://schemas.openxmlformats.org/officeDocument/2006/relationships/hyperlink" Target="mailto:RMoffat@lsh.co.uk" TargetMode="External"/><Relationship Id="rId29" Type="http://schemas.openxmlformats.org/officeDocument/2006/relationships/hyperlink" Target="mailto:threemagnetsplanning@gmail.com" TargetMode="External"/><Relationship Id="rId24" Type="http://schemas.openxmlformats.org/officeDocument/2006/relationships/hyperlink" Target="mailto:james@dlatownplanning.com" TargetMode="External"/><Relationship Id="rId40" Type="http://schemas.openxmlformats.org/officeDocument/2006/relationships/hyperlink" Target="mailto:kevin.morley@stokesmorgan.co.uk" TargetMode="External"/><Relationship Id="rId45" Type="http://schemas.openxmlformats.org/officeDocument/2006/relationships/hyperlink" Target="mailto:dale@deplanning.co.uk" TargetMode="External"/><Relationship Id="rId66" Type="http://schemas.openxmlformats.org/officeDocument/2006/relationships/hyperlink" Target="mailto:swaplanning@outlook.com" TargetMode="External"/><Relationship Id="rId87" Type="http://schemas.openxmlformats.org/officeDocument/2006/relationships/hyperlink" Target="mailto:john.rooney@stokesmorgan.co.uk" TargetMode="External"/><Relationship Id="rId61" Type="http://schemas.openxmlformats.org/officeDocument/2006/relationships/hyperlink" Target="mailto:dan@habibohomes.co.uk" TargetMode="External"/><Relationship Id="rId82" Type="http://schemas.openxmlformats.org/officeDocument/2006/relationships/hyperlink" Target="mailto:elliott.paddon@rapleys.com" TargetMode="External"/><Relationship Id="rId19" Type="http://schemas.openxmlformats.org/officeDocument/2006/relationships/hyperlink" Target="mailto:john.rooney@stokesmorgan.co.uk" TargetMode="External"/><Relationship Id="rId14" Type="http://schemas.openxmlformats.org/officeDocument/2006/relationships/hyperlink" Target="mailto:julie@planningventures.co.uk" TargetMode="External"/><Relationship Id="rId30" Type="http://schemas.openxmlformats.org/officeDocument/2006/relationships/hyperlink" Target="mailto:swaplanning@outlook.com" TargetMode="External"/><Relationship Id="rId35" Type="http://schemas.openxmlformats.org/officeDocument/2006/relationships/hyperlink" Target="mailto:john.rooney@stokesmorgan.co.uk" TargetMode="External"/><Relationship Id="rId56" Type="http://schemas.openxmlformats.org/officeDocument/2006/relationships/hyperlink" Target="mailto:duncan@arrantland.com" TargetMode="External"/><Relationship Id="rId77" Type="http://schemas.openxmlformats.org/officeDocument/2006/relationships/hyperlink" Target="mailto:elliott.paddon@rapleys.com"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4871D-9060-420A-9783-34C36C504DEE}">
  <dimension ref="A2:B17"/>
  <sheetViews>
    <sheetView workbookViewId="0">
      <selection activeCell="A4" sqref="A4"/>
    </sheetView>
  </sheetViews>
  <sheetFormatPr baseColWidth="10" defaultColWidth="8.83203125" defaultRowHeight="15" x14ac:dyDescent="0.2"/>
  <cols>
    <col min="1" max="1" width="12.33203125" customWidth="1"/>
  </cols>
  <sheetData>
    <row r="2" spans="1:2" x14ac:dyDescent="0.2">
      <c r="A2" s="84" t="s">
        <v>0</v>
      </c>
    </row>
    <row r="4" spans="1:2" x14ac:dyDescent="0.2">
      <c r="A4" s="84" t="s">
        <v>1</v>
      </c>
    </row>
    <row r="6" spans="1:2" x14ac:dyDescent="0.2">
      <c r="A6" s="267" t="s">
        <v>2</v>
      </c>
    </row>
    <row r="8" spans="1:2" x14ac:dyDescent="0.2">
      <c r="A8" s="266" t="s">
        <v>3</v>
      </c>
    </row>
    <row r="10" spans="1:2" x14ac:dyDescent="0.2">
      <c r="A10" s="272" t="s">
        <v>4</v>
      </c>
      <c r="B10" t="s">
        <v>5</v>
      </c>
    </row>
    <row r="11" spans="1:2" x14ac:dyDescent="0.2">
      <c r="A11" s="268" t="s">
        <v>6</v>
      </c>
    </row>
    <row r="12" spans="1:2" x14ac:dyDescent="0.2">
      <c r="A12" s="272" t="s">
        <v>7</v>
      </c>
      <c r="B12" t="s">
        <v>5</v>
      </c>
    </row>
    <row r="14" spans="1:2" x14ac:dyDescent="0.2">
      <c r="A14" s="266" t="s">
        <v>8</v>
      </c>
    </row>
    <row r="16" spans="1:2" x14ac:dyDescent="0.2">
      <c r="A16" s="268" t="s">
        <v>9</v>
      </c>
    </row>
    <row r="17" spans="1:2" x14ac:dyDescent="0.2">
      <c r="A17" s="272" t="s">
        <v>10</v>
      </c>
      <c r="B17" t="s">
        <v>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9894-409B-4D2E-AA9E-73ED2AC17D68}">
  <dimension ref="A1:AH21"/>
  <sheetViews>
    <sheetView zoomScale="70" zoomScaleNormal="70" workbookViewId="0">
      <pane xSplit="1" ySplit="1" topLeftCell="O2" activePane="bottomRight" state="frozen"/>
      <selection pane="topRight" activeCell="B1" sqref="B1"/>
      <selection pane="bottomLeft" activeCell="A2" sqref="A2"/>
      <selection pane="bottomRight" activeCell="C1" sqref="C1"/>
    </sheetView>
  </sheetViews>
  <sheetFormatPr baseColWidth="10" defaultColWidth="9.1640625" defaultRowHeight="14" x14ac:dyDescent="0.2"/>
  <cols>
    <col min="1" max="1" width="33.83203125" style="5" bestFit="1" customWidth="1"/>
    <col min="2" max="2" width="42.33203125" style="5" bestFit="1" customWidth="1"/>
    <col min="3" max="3" width="10" style="5" bestFit="1" customWidth="1"/>
    <col min="4" max="4" width="13.33203125" style="5" customWidth="1"/>
    <col min="5" max="5" width="12.6640625" style="5" customWidth="1"/>
    <col min="6" max="6" width="12.5" style="5" customWidth="1"/>
    <col min="7" max="7" width="22.1640625" style="5" customWidth="1"/>
    <col min="8" max="8" width="18" style="5" bestFit="1" customWidth="1"/>
    <col min="9" max="9" width="27.5" style="5" customWidth="1"/>
    <col min="10" max="10" width="18.83203125" style="5" bestFit="1" customWidth="1"/>
    <col min="11" max="11" width="19.5" style="5" bestFit="1" customWidth="1"/>
    <col min="12" max="13" width="24.1640625" style="5" customWidth="1"/>
    <col min="14" max="14" width="13.33203125" style="5" bestFit="1" customWidth="1"/>
    <col min="15" max="15" width="11.1640625" style="5" bestFit="1" customWidth="1"/>
    <col min="16" max="16" width="26" style="5" bestFit="1" customWidth="1"/>
    <col min="17" max="19" width="18.6640625" style="5" customWidth="1"/>
    <col min="20" max="20" width="21.83203125" style="5" customWidth="1"/>
    <col min="21" max="21" width="19.5" style="5" bestFit="1" customWidth="1"/>
    <col min="22" max="22" width="14.33203125" style="5" customWidth="1"/>
    <col min="23" max="23" width="25" style="5" bestFit="1" customWidth="1"/>
    <col min="24" max="25" width="39.83203125" style="5" customWidth="1"/>
    <col min="26" max="26" width="24.83203125" style="5" customWidth="1"/>
    <col min="27" max="27" width="25.5" style="5" customWidth="1"/>
    <col min="28" max="16384" width="9.1640625" style="5"/>
  </cols>
  <sheetData>
    <row r="1" spans="1:34" s="119" customFormat="1" ht="45" x14ac:dyDescent="0.2">
      <c r="A1" s="117" t="s">
        <v>11</v>
      </c>
      <c r="B1" s="117" t="s">
        <v>12</v>
      </c>
      <c r="C1" s="117" t="s">
        <v>13</v>
      </c>
      <c r="D1" s="117" t="s">
        <v>14</v>
      </c>
      <c r="E1" s="117" t="s">
        <v>15</v>
      </c>
      <c r="F1" s="117" t="s">
        <v>16</v>
      </c>
      <c r="G1" s="118" t="s">
        <v>17</v>
      </c>
      <c r="H1" s="118" t="s">
        <v>18</v>
      </c>
      <c r="I1" s="118" t="s">
        <v>19</v>
      </c>
      <c r="J1" s="118" t="s">
        <v>20</v>
      </c>
      <c r="K1" s="118" t="s">
        <v>21</v>
      </c>
      <c r="L1" s="118" t="s">
        <v>22</v>
      </c>
      <c r="M1" s="118" t="s">
        <v>23</v>
      </c>
      <c r="N1" s="118" t="s">
        <v>24</v>
      </c>
      <c r="O1" s="118" t="s">
        <v>25</v>
      </c>
      <c r="P1" s="118" t="s">
        <v>26</v>
      </c>
      <c r="Q1" s="118" t="s">
        <v>27</v>
      </c>
      <c r="R1" s="118" t="s">
        <v>28</v>
      </c>
      <c r="S1" s="118" t="s">
        <v>29</v>
      </c>
      <c r="T1" s="118" t="s">
        <v>30</v>
      </c>
      <c r="U1" s="118" t="s">
        <v>31</v>
      </c>
      <c r="V1" s="118" t="s">
        <v>32</v>
      </c>
      <c r="W1" s="118" t="s">
        <v>33</v>
      </c>
      <c r="X1" s="118" t="s">
        <v>34</v>
      </c>
      <c r="Y1" s="118" t="s">
        <v>35</v>
      </c>
      <c r="Z1" s="118" t="s">
        <v>36</v>
      </c>
      <c r="AA1" s="118" t="s">
        <v>37</v>
      </c>
      <c r="AB1" s="5"/>
      <c r="AC1" s="5"/>
      <c r="AD1" s="5"/>
      <c r="AE1" s="5"/>
      <c r="AF1" s="5"/>
      <c r="AG1" s="5"/>
      <c r="AH1" s="5"/>
    </row>
    <row r="2" spans="1:34" ht="45" x14ac:dyDescent="0.2">
      <c r="A2" s="120" t="s">
        <v>38</v>
      </c>
      <c r="B2" s="22" t="s">
        <v>39</v>
      </c>
      <c r="C2" s="23" t="s">
        <v>4</v>
      </c>
      <c r="D2" s="22" t="s">
        <v>40</v>
      </c>
      <c r="E2" s="23"/>
      <c r="F2" s="23" t="s">
        <v>41</v>
      </c>
      <c r="G2" s="23"/>
      <c r="H2" s="23"/>
      <c r="I2" s="121">
        <v>44637</v>
      </c>
      <c r="J2" s="121">
        <v>44701</v>
      </c>
      <c r="K2" s="121">
        <v>44658</v>
      </c>
      <c r="L2" s="22" t="s">
        <v>42</v>
      </c>
      <c r="M2" s="22" t="s">
        <v>43</v>
      </c>
      <c r="N2" s="23"/>
      <c r="O2" s="23"/>
      <c r="P2" s="23"/>
      <c r="Q2" s="23"/>
      <c r="R2" s="23"/>
      <c r="S2" s="23"/>
      <c r="T2" s="23"/>
      <c r="U2" s="23"/>
      <c r="V2" s="23"/>
      <c r="W2" s="23" t="s">
        <v>44</v>
      </c>
      <c r="X2" s="23" t="s">
        <v>43</v>
      </c>
      <c r="Y2" s="23"/>
      <c r="Z2" s="23" t="s">
        <v>43</v>
      </c>
      <c r="AA2" s="22" t="s">
        <v>45</v>
      </c>
    </row>
    <row r="3" spans="1:34" ht="180" x14ac:dyDescent="0.2">
      <c r="A3" s="14" t="s">
        <v>46</v>
      </c>
      <c r="B3" s="22" t="s">
        <v>47</v>
      </c>
      <c r="C3" s="23" t="s">
        <v>4</v>
      </c>
      <c r="D3" s="22" t="s">
        <v>48</v>
      </c>
      <c r="E3" s="23"/>
      <c r="F3" s="22" t="s">
        <v>49</v>
      </c>
      <c r="G3" s="22" t="s">
        <v>50</v>
      </c>
      <c r="H3" s="23"/>
      <c r="I3" s="23"/>
      <c r="J3" s="23"/>
      <c r="K3" s="121">
        <v>44840</v>
      </c>
      <c r="L3" s="22" t="s">
        <v>51</v>
      </c>
      <c r="M3" s="23" t="s">
        <v>52</v>
      </c>
      <c r="N3" s="23" t="s">
        <v>53</v>
      </c>
      <c r="O3" s="38">
        <v>4996.5</v>
      </c>
      <c r="P3" s="121">
        <v>44847</v>
      </c>
      <c r="Q3" s="121" t="s">
        <v>54</v>
      </c>
      <c r="R3" s="121"/>
      <c r="S3" s="104" t="s">
        <v>55</v>
      </c>
      <c r="T3" s="23"/>
      <c r="U3" s="23"/>
      <c r="V3" s="23"/>
      <c r="W3" s="122">
        <v>44931</v>
      </c>
      <c r="X3" s="122">
        <v>44937</v>
      </c>
      <c r="Y3" s="123">
        <v>4996.05</v>
      </c>
      <c r="Z3" s="122">
        <v>44951</v>
      </c>
      <c r="AA3" s="22" t="s">
        <v>56</v>
      </c>
    </row>
    <row r="4" spans="1:34" ht="60" x14ac:dyDescent="0.2">
      <c r="A4" s="14" t="s">
        <v>57</v>
      </c>
      <c r="B4" s="22" t="s">
        <v>58</v>
      </c>
      <c r="C4" s="23" t="s">
        <v>4</v>
      </c>
      <c r="D4" s="23"/>
      <c r="E4" s="23"/>
      <c r="F4" s="23" t="s">
        <v>59</v>
      </c>
      <c r="G4" s="22" t="s">
        <v>60</v>
      </c>
      <c r="H4" s="23"/>
      <c r="I4" s="23"/>
      <c r="J4" s="23"/>
      <c r="K4" s="121">
        <v>44812</v>
      </c>
      <c r="L4" s="22" t="s">
        <v>61</v>
      </c>
      <c r="M4" s="22" t="s">
        <v>62</v>
      </c>
      <c r="N4" s="23" t="s">
        <v>53</v>
      </c>
      <c r="O4" s="38">
        <v>4996.5</v>
      </c>
      <c r="P4" s="121">
        <v>44845</v>
      </c>
      <c r="Q4" s="62" t="s">
        <v>63</v>
      </c>
      <c r="R4" s="62"/>
      <c r="S4" s="62" t="s">
        <v>64</v>
      </c>
      <c r="T4" s="23"/>
      <c r="U4" s="22" t="s">
        <v>65</v>
      </c>
      <c r="V4" s="23"/>
      <c r="W4" s="122">
        <v>45042</v>
      </c>
      <c r="X4" s="122">
        <v>45049</v>
      </c>
      <c r="Y4" s="123">
        <v>3037.02</v>
      </c>
      <c r="Z4" s="122">
        <v>45056</v>
      </c>
      <c r="AA4" s="23"/>
    </row>
    <row r="5" spans="1:34" ht="180" x14ac:dyDescent="0.2">
      <c r="A5" s="14" t="s">
        <v>66</v>
      </c>
      <c r="B5" s="22" t="s">
        <v>67</v>
      </c>
      <c r="C5" s="23" t="s">
        <v>4</v>
      </c>
      <c r="D5" s="22" t="s">
        <v>68</v>
      </c>
      <c r="E5" s="23"/>
      <c r="F5" s="22" t="s">
        <v>69</v>
      </c>
      <c r="G5" s="32" t="s">
        <v>70</v>
      </c>
      <c r="H5" s="23"/>
      <c r="I5" s="121">
        <v>45091</v>
      </c>
      <c r="J5" s="121">
        <v>45105</v>
      </c>
      <c r="K5" s="121">
        <v>45110</v>
      </c>
      <c r="L5" s="22" t="s">
        <v>71</v>
      </c>
      <c r="M5" s="22" t="s">
        <v>72</v>
      </c>
      <c r="N5" s="23"/>
      <c r="O5" s="62">
        <v>4965</v>
      </c>
      <c r="P5" s="121">
        <v>45119</v>
      </c>
      <c r="Q5" s="22" t="s">
        <v>73</v>
      </c>
      <c r="R5" s="22"/>
      <c r="S5" s="23" t="s">
        <v>74</v>
      </c>
      <c r="T5" s="22"/>
      <c r="U5" s="23"/>
      <c r="V5" s="23"/>
      <c r="W5" s="23"/>
      <c r="X5" s="23"/>
      <c r="Y5" s="23"/>
      <c r="Z5" s="23"/>
      <c r="AA5" s="22" t="s">
        <v>75</v>
      </c>
    </row>
    <row r="6" spans="1:34" ht="165" x14ac:dyDescent="0.2">
      <c r="A6" s="14" t="s">
        <v>76</v>
      </c>
      <c r="B6" s="22" t="s">
        <v>77</v>
      </c>
      <c r="C6" s="23" t="s">
        <v>4</v>
      </c>
      <c r="D6" s="22"/>
      <c r="E6" s="23"/>
      <c r="F6" s="22" t="s">
        <v>78</v>
      </c>
      <c r="G6" s="22" t="s">
        <v>79</v>
      </c>
      <c r="H6" s="23"/>
      <c r="I6" s="121"/>
      <c r="J6" s="121"/>
      <c r="K6" s="121">
        <v>45182</v>
      </c>
      <c r="L6" s="22" t="s">
        <v>80</v>
      </c>
      <c r="M6" s="22" t="s">
        <v>81</v>
      </c>
      <c r="N6" s="23"/>
      <c r="O6" s="35" t="s">
        <v>82</v>
      </c>
      <c r="P6" s="121">
        <v>45195</v>
      </c>
      <c r="Q6" s="22" t="s">
        <v>54</v>
      </c>
      <c r="R6" s="22"/>
      <c r="S6" s="22" t="s">
        <v>83</v>
      </c>
      <c r="T6" s="22"/>
      <c r="U6" s="23"/>
      <c r="V6" s="23"/>
      <c r="W6" s="121">
        <v>45252</v>
      </c>
      <c r="X6" s="121">
        <v>45264</v>
      </c>
      <c r="Y6" s="38">
        <v>4536.45</v>
      </c>
      <c r="Z6" s="122">
        <v>45406</v>
      </c>
      <c r="AA6" s="22"/>
    </row>
    <row r="7" spans="1:34" ht="195" x14ac:dyDescent="0.2">
      <c r="A7" s="22" t="s">
        <v>84</v>
      </c>
      <c r="B7" s="22" t="s">
        <v>85</v>
      </c>
      <c r="C7" s="23" t="s">
        <v>4</v>
      </c>
      <c r="D7" s="22" t="s">
        <v>86</v>
      </c>
      <c r="E7" s="23"/>
      <c r="F7" s="23" t="s">
        <v>87</v>
      </c>
      <c r="G7" s="23"/>
      <c r="H7" s="23" t="s">
        <v>88</v>
      </c>
      <c r="I7" s="121">
        <v>44642</v>
      </c>
      <c r="J7" s="121">
        <v>44656</v>
      </c>
      <c r="K7" s="124"/>
      <c r="L7" s="22" t="s">
        <v>89</v>
      </c>
      <c r="M7" s="22"/>
      <c r="N7" s="23"/>
      <c r="O7" s="23"/>
      <c r="P7" s="23"/>
      <c r="Q7" s="23"/>
      <c r="R7" s="23"/>
      <c r="S7" s="23"/>
      <c r="T7" s="23"/>
      <c r="U7" s="23"/>
      <c r="V7" s="23"/>
      <c r="W7" s="23"/>
      <c r="X7" s="23"/>
      <c r="Y7" s="23"/>
      <c r="Z7" s="23"/>
      <c r="AA7" s="23"/>
    </row>
    <row r="8" spans="1:34" s="19" customFormat="1" ht="135.75" customHeight="1" x14ac:dyDescent="0.2">
      <c r="A8" s="14" t="s">
        <v>90</v>
      </c>
      <c r="B8" s="22" t="s">
        <v>91</v>
      </c>
      <c r="C8" s="22" t="s">
        <v>4</v>
      </c>
      <c r="D8" s="22"/>
      <c r="E8" s="22"/>
      <c r="F8" s="22" t="s">
        <v>92</v>
      </c>
      <c r="G8" s="32" t="s">
        <v>93</v>
      </c>
      <c r="H8" s="22"/>
      <c r="I8" s="22"/>
      <c r="J8" s="22"/>
      <c r="K8" s="121">
        <v>45330</v>
      </c>
      <c r="L8" s="22" t="s">
        <v>94</v>
      </c>
      <c r="M8" s="22" t="s">
        <v>95</v>
      </c>
      <c r="N8" s="22"/>
      <c r="O8" s="25">
        <v>2979</v>
      </c>
      <c r="P8" s="121">
        <v>45349</v>
      </c>
      <c r="Q8" s="22" t="s">
        <v>96</v>
      </c>
      <c r="R8" s="22"/>
      <c r="S8" s="104" t="s">
        <v>97</v>
      </c>
      <c r="T8" s="22"/>
      <c r="U8" s="22" t="s">
        <v>43</v>
      </c>
      <c r="V8" s="22" t="s">
        <v>43</v>
      </c>
      <c r="W8" s="121">
        <v>45394</v>
      </c>
      <c r="X8" s="22"/>
      <c r="Y8" s="35">
        <v>1273</v>
      </c>
      <c r="Z8" s="122">
        <v>45428</v>
      </c>
      <c r="AA8" s="22"/>
    </row>
    <row r="9" spans="1:34" ht="45" x14ac:dyDescent="0.2">
      <c r="A9" s="14" t="s">
        <v>98</v>
      </c>
      <c r="B9" s="22" t="s">
        <v>99</v>
      </c>
      <c r="C9" s="23" t="s">
        <v>4</v>
      </c>
      <c r="D9" s="23"/>
      <c r="E9" s="23"/>
      <c r="F9" s="23" t="s">
        <v>100</v>
      </c>
      <c r="G9" s="32" t="s">
        <v>101</v>
      </c>
      <c r="H9" s="23"/>
      <c r="I9" s="126">
        <v>45369</v>
      </c>
      <c r="J9" s="126">
        <v>45385</v>
      </c>
      <c r="K9" s="126">
        <v>45369</v>
      </c>
      <c r="L9" s="22" t="s">
        <v>102</v>
      </c>
      <c r="M9" s="23" t="s">
        <v>103</v>
      </c>
      <c r="N9" s="23" t="s">
        <v>53</v>
      </c>
      <c r="O9" s="25">
        <v>4020</v>
      </c>
      <c r="P9" s="121">
        <v>45379</v>
      </c>
      <c r="Q9" s="23" t="s">
        <v>54</v>
      </c>
      <c r="R9" s="22" t="s">
        <v>104</v>
      </c>
      <c r="S9" s="22" t="s">
        <v>105</v>
      </c>
      <c r="T9" s="23"/>
      <c r="U9" s="23" t="s">
        <v>106</v>
      </c>
      <c r="V9" s="23"/>
      <c r="W9" s="121">
        <v>45414</v>
      </c>
      <c r="X9" s="23"/>
      <c r="Y9" s="25">
        <v>2010</v>
      </c>
      <c r="Z9" s="122">
        <v>45419</v>
      </c>
      <c r="AA9" s="22" t="s">
        <v>107</v>
      </c>
    </row>
    <row r="10" spans="1:34" ht="270" x14ac:dyDescent="0.2">
      <c r="A10" s="14" t="s">
        <v>108</v>
      </c>
      <c r="B10" s="22" t="s">
        <v>109</v>
      </c>
      <c r="C10" s="22" t="s">
        <v>6</v>
      </c>
      <c r="D10" s="23"/>
      <c r="E10" s="23"/>
      <c r="F10" s="22" t="s">
        <v>110</v>
      </c>
      <c r="G10" s="32" t="s">
        <v>111</v>
      </c>
      <c r="H10" s="23"/>
      <c r="I10" s="311">
        <v>45460</v>
      </c>
      <c r="J10" s="311">
        <v>45474</v>
      </c>
      <c r="K10" s="130">
        <v>45476</v>
      </c>
      <c r="L10" s="22" t="s">
        <v>112</v>
      </c>
      <c r="M10" s="22" t="s">
        <v>113</v>
      </c>
      <c r="N10" s="23" t="s">
        <v>53</v>
      </c>
      <c r="O10" s="25">
        <v>5025</v>
      </c>
      <c r="P10" s="121">
        <v>45481</v>
      </c>
      <c r="Q10" s="23" t="s">
        <v>114</v>
      </c>
      <c r="R10" s="130">
        <v>45503</v>
      </c>
      <c r="S10" s="22" t="s">
        <v>115</v>
      </c>
      <c r="T10" s="23"/>
      <c r="U10" s="23" t="s">
        <v>116</v>
      </c>
      <c r="V10" s="23"/>
      <c r="W10" s="121">
        <v>45510</v>
      </c>
      <c r="X10" s="121">
        <v>45533</v>
      </c>
      <c r="Y10" s="25">
        <v>3752</v>
      </c>
      <c r="Z10" s="23"/>
      <c r="AA10" s="23"/>
    </row>
    <row r="11" spans="1:34" ht="135" x14ac:dyDescent="0.2">
      <c r="A11" s="14" t="s">
        <v>117</v>
      </c>
      <c r="B11" s="22" t="s">
        <v>118</v>
      </c>
      <c r="C11" s="22" t="s">
        <v>6</v>
      </c>
      <c r="D11" s="22"/>
      <c r="E11" s="22"/>
      <c r="F11" s="22" t="s">
        <v>119</v>
      </c>
      <c r="G11" s="32" t="s">
        <v>120</v>
      </c>
      <c r="H11" s="22" t="s">
        <v>121</v>
      </c>
      <c r="I11" s="106">
        <v>45609</v>
      </c>
      <c r="J11" s="311">
        <v>45623</v>
      </c>
      <c r="K11" s="121">
        <v>45637</v>
      </c>
      <c r="L11" s="22" t="s">
        <v>122</v>
      </c>
      <c r="M11" s="22" t="s">
        <v>123</v>
      </c>
      <c r="N11" s="22"/>
      <c r="O11" s="35">
        <v>5025</v>
      </c>
      <c r="P11" s="121">
        <v>45645</v>
      </c>
      <c r="Q11" s="22" t="s">
        <v>54</v>
      </c>
      <c r="R11" s="106" t="s">
        <v>124</v>
      </c>
      <c r="S11" s="106" t="s">
        <v>125</v>
      </c>
      <c r="T11" s="22" t="s">
        <v>43</v>
      </c>
      <c r="U11" s="106" t="s">
        <v>126</v>
      </c>
      <c r="V11" s="22" t="s">
        <v>43</v>
      </c>
      <c r="W11" s="34">
        <v>45720</v>
      </c>
      <c r="X11" s="34">
        <v>45728</v>
      </c>
      <c r="Y11" s="62">
        <v>4991.5</v>
      </c>
      <c r="Z11" s="22"/>
      <c r="AA11" s="22"/>
    </row>
    <row r="12" spans="1:34" ht="180" x14ac:dyDescent="0.2">
      <c r="A12" s="14" t="s">
        <v>127</v>
      </c>
      <c r="B12" s="245" t="s">
        <v>128</v>
      </c>
      <c r="C12" s="23" t="s">
        <v>4</v>
      </c>
      <c r="D12" s="22" t="s">
        <v>129</v>
      </c>
      <c r="E12" s="246"/>
      <c r="F12" s="22" t="s">
        <v>130</v>
      </c>
      <c r="G12" s="32" t="s">
        <v>131</v>
      </c>
      <c r="H12" s="23"/>
      <c r="I12" s="130">
        <v>45674</v>
      </c>
      <c r="J12" s="23" t="s">
        <v>132</v>
      </c>
      <c r="K12" s="130">
        <v>45705</v>
      </c>
      <c r="L12" s="22" t="s">
        <v>133</v>
      </c>
      <c r="M12" s="23" t="s">
        <v>95</v>
      </c>
      <c r="N12" s="23"/>
      <c r="O12" s="25">
        <v>3149</v>
      </c>
      <c r="P12" s="130">
        <v>45708</v>
      </c>
      <c r="Q12" s="23" t="s">
        <v>114</v>
      </c>
      <c r="R12" s="106" t="s">
        <v>134</v>
      </c>
      <c r="S12" s="22" t="s">
        <v>135</v>
      </c>
      <c r="T12" s="23"/>
      <c r="U12" s="23" t="s">
        <v>136</v>
      </c>
      <c r="V12" s="22" t="s">
        <v>137</v>
      </c>
      <c r="W12" s="130">
        <v>45735</v>
      </c>
      <c r="X12" s="130">
        <v>45737</v>
      </c>
      <c r="Y12" s="62">
        <v>2211</v>
      </c>
      <c r="Z12" s="23"/>
      <c r="AA12" s="23"/>
    </row>
    <row r="13" spans="1:34" ht="165" x14ac:dyDescent="0.2">
      <c r="A13" s="14" t="s">
        <v>138</v>
      </c>
      <c r="B13" s="245" t="s">
        <v>139</v>
      </c>
      <c r="C13" s="23" t="s">
        <v>4</v>
      </c>
      <c r="D13" s="22" t="s">
        <v>140</v>
      </c>
      <c r="E13" s="23"/>
      <c r="F13" s="23"/>
      <c r="G13" s="32" t="s">
        <v>141</v>
      </c>
      <c r="H13" s="23"/>
      <c r="I13" s="130">
        <v>45674</v>
      </c>
      <c r="J13" s="22" t="s">
        <v>142</v>
      </c>
      <c r="K13" s="130">
        <v>45698</v>
      </c>
      <c r="L13" s="22" t="s">
        <v>143</v>
      </c>
      <c r="M13" s="23" t="s">
        <v>95</v>
      </c>
      <c r="N13" s="23"/>
      <c r="O13" s="25">
        <v>3149</v>
      </c>
      <c r="P13" s="130">
        <v>45705</v>
      </c>
      <c r="Q13" s="23" t="s">
        <v>54</v>
      </c>
      <c r="R13" s="106" t="s">
        <v>144</v>
      </c>
      <c r="S13" s="22" t="s">
        <v>145</v>
      </c>
      <c r="T13" s="23"/>
      <c r="U13" s="130" t="s">
        <v>136</v>
      </c>
      <c r="V13" s="106" t="s">
        <v>146</v>
      </c>
      <c r="W13" s="130">
        <v>45744</v>
      </c>
      <c r="X13" s="34" t="s">
        <v>147</v>
      </c>
      <c r="Y13" s="62">
        <v>2211</v>
      </c>
      <c r="Z13" s="23"/>
      <c r="AA13" s="23"/>
    </row>
    <row r="14" spans="1:34" ht="117" customHeight="1" x14ac:dyDescent="0.2">
      <c r="A14" s="14" t="s">
        <v>148</v>
      </c>
      <c r="B14" s="8" t="s">
        <v>149</v>
      </c>
      <c r="C14" s="7" t="s">
        <v>4</v>
      </c>
      <c r="D14" s="8"/>
      <c r="E14" s="7"/>
      <c r="F14" s="8" t="s">
        <v>150</v>
      </c>
      <c r="G14" s="8" t="s">
        <v>151</v>
      </c>
      <c r="H14" s="7"/>
      <c r="I14" s="125"/>
      <c r="J14" s="125"/>
      <c r="K14" s="125">
        <v>44775</v>
      </c>
      <c r="L14" s="8" t="s">
        <v>152</v>
      </c>
      <c r="M14" s="8" t="s">
        <v>153</v>
      </c>
      <c r="N14" s="7"/>
      <c r="O14" s="9">
        <v>11423</v>
      </c>
      <c r="P14" s="125">
        <v>44847</v>
      </c>
      <c r="Q14" s="8" t="s">
        <v>154</v>
      </c>
      <c r="R14" s="8"/>
      <c r="S14" s="8" t="s">
        <v>155</v>
      </c>
      <c r="T14" s="8" t="s">
        <v>156</v>
      </c>
      <c r="U14" s="7"/>
      <c r="V14" s="7"/>
      <c r="W14" s="7"/>
      <c r="X14" s="7"/>
      <c r="Y14" s="7"/>
      <c r="Z14" s="7"/>
      <c r="AA14" s="8" t="s">
        <v>157</v>
      </c>
    </row>
    <row r="15" spans="1:34" ht="99" customHeight="1" x14ac:dyDescent="0.2">
      <c r="A15" s="14" t="s">
        <v>158</v>
      </c>
      <c r="B15" s="8" t="s">
        <v>159</v>
      </c>
      <c r="C15" s="7" t="s">
        <v>4</v>
      </c>
      <c r="D15" s="8"/>
      <c r="E15" s="7"/>
      <c r="F15" s="8" t="s">
        <v>150</v>
      </c>
      <c r="G15" s="8" t="s">
        <v>151</v>
      </c>
      <c r="H15" s="7"/>
      <c r="I15" s="125"/>
      <c r="J15" s="125"/>
      <c r="K15" s="125">
        <v>44775</v>
      </c>
      <c r="L15" s="8" t="s">
        <v>160</v>
      </c>
      <c r="M15" s="8" t="s">
        <v>153</v>
      </c>
      <c r="N15" s="7"/>
      <c r="O15" s="8" t="s">
        <v>161</v>
      </c>
      <c r="P15" s="125">
        <v>44847</v>
      </c>
      <c r="Q15" s="8" t="s">
        <v>154</v>
      </c>
      <c r="R15" s="8"/>
      <c r="S15" s="7"/>
      <c r="T15" s="8" t="s">
        <v>156</v>
      </c>
      <c r="U15" s="7"/>
      <c r="V15" s="7"/>
      <c r="W15" s="7"/>
      <c r="X15" s="7"/>
      <c r="Y15" s="7"/>
      <c r="Z15" s="7"/>
      <c r="AA15" s="8"/>
    </row>
    <row r="16" spans="1:34" ht="409.6" x14ac:dyDescent="0.2">
      <c r="A16" s="14" t="s">
        <v>162</v>
      </c>
      <c r="B16" s="23" t="s">
        <v>163</v>
      </c>
      <c r="C16" s="23" t="s">
        <v>4</v>
      </c>
      <c r="D16" s="22" t="s">
        <v>164</v>
      </c>
      <c r="E16" s="23"/>
      <c r="F16" s="22" t="s">
        <v>165</v>
      </c>
      <c r="G16" s="32" t="s">
        <v>166</v>
      </c>
      <c r="H16" s="23" t="s">
        <v>121</v>
      </c>
      <c r="I16" s="130">
        <v>45714</v>
      </c>
      <c r="J16" s="130">
        <v>45728</v>
      </c>
      <c r="K16" s="130">
        <v>45733</v>
      </c>
      <c r="L16" s="22" t="s">
        <v>167</v>
      </c>
      <c r="M16" s="23" t="s">
        <v>95</v>
      </c>
      <c r="N16" s="23"/>
      <c r="O16" s="25">
        <v>2680</v>
      </c>
      <c r="P16" s="130">
        <v>45737</v>
      </c>
      <c r="Q16" s="23" t="s">
        <v>54</v>
      </c>
      <c r="R16" s="106" t="s">
        <v>168</v>
      </c>
      <c r="S16" s="22" t="s">
        <v>169</v>
      </c>
      <c r="T16" s="23"/>
      <c r="U16" s="23" t="s">
        <v>170</v>
      </c>
      <c r="V16" s="23" t="s">
        <v>43</v>
      </c>
      <c r="W16" s="130">
        <v>45783</v>
      </c>
      <c r="X16" s="23" t="s">
        <v>171</v>
      </c>
      <c r="Y16" s="38">
        <v>1541</v>
      </c>
      <c r="Z16" s="23"/>
      <c r="AA16" s="23" t="s">
        <v>172</v>
      </c>
    </row>
    <row r="17" spans="1:27" ht="314" x14ac:dyDescent="0.2">
      <c r="A17" s="14" t="s">
        <v>173</v>
      </c>
      <c r="B17" s="22" t="s">
        <v>174</v>
      </c>
      <c r="C17" s="23" t="s">
        <v>4</v>
      </c>
      <c r="D17" s="22" t="s">
        <v>175</v>
      </c>
      <c r="E17" s="23"/>
      <c r="F17" s="22" t="s">
        <v>176</v>
      </c>
      <c r="G17" s="32" t="s">
        <v>177</v>
      </c>
      <c r="H17" s="23"/>
      <c r="I17" s="130">
        <v>45707</v>
      </c>
      <c r="J17" s="261">
        <v>45717</v>
      </c>
      <c r="K17" s="130">
        <v>45742</v>
      </c>
      <c r="L17" s="22" t="s">
        <v>178</v>
      </c>
      <c r="M17" s="23" t="s">
        <v>95</v>
      </c>
      <c r="N17" s="23"/>
      <c r="O17" s="25">
        <v>5025</v>
      </c>
      <c r="P17" s="130">
        <v>45747</v>
      </c>
      <c r="Q17" s="23" t="s">
        <v>54</v>
      </c>
      <c r="R17" s="106" t="s">
        <v>179</v>
      </c>
      <c r="S17" s="22">
        <v>710806</v>
      </c>
      <c r="T17" s="23"/>
      <c r="U17" s="130">
        <v>45763</v>
      </c>
      <c r="V17" s="22" t="s">
        <v>180</v>
      </c>
      <c r="W17" s="130">
        <v>45790</v>
      </c>
      <c r="X17" s="23" t="s">
        <v>181</v>
      </c>
      <c r="Y17" s="38">
        <v>2144</v>
      </c>
      <c r="Z17" s="23"/>
      <c r="AA17" s="23" t="s">
        <v>182</v>
      </c>
    </row>
    <row r="18" spans="1:27" ht="120" x14ac:dyDescent="0.2">
      <c r="A18" s="14" t="s">
        <v>183</v>
      </c>
      <c r="B18" s="22" t="s">
        <v>184</v>
      </c>
      <c r="C18" s="23" t="s">
        <v>4</v>
      </c>
      <c r="D18" s="22" t="s">
        <v>185</v>
      </c>
      <c r="E18" s="23"/>
      <c r="F18" s="22" t="s">
        <v>49</v>
      </c>
      <c r="G18" s="32" t="s">
        <v>186</v>
      </c>
      <c r="H18" s="23"/>
      <c r="I18" s="130">
        <v>45757</v>
      </c>
      <c r="J18" s="261"/>
      <c r="K18" s="130">
        <v>45757</v>
      </c>
      <c r="L18" s="22" t="s">
        <v>187</v>
      </c>
      <c r="M18" s="23" t="s">
        <v>95</v>
      </c>
      <c r="N18" s="23"/>
      <c r="O18" s="25">
        <v>2546</v>
      </c>
      <c r="P18" s="130">
        <v>45771</v>
      </c>
      <c r="Q18" s="23" t="s">
        <v>54</v>
      </c>
      <c r="R18" s="106" t="s">
        <v>188</v>
      </c>
      <c r="S18" s="22" t="s">
        <v>189</v>
      </c>
      <c r="T18" s="22"/>
      <c r="U18" s="130">
        <v>45783</v>
      </c>
      <c r="V18" s="22" t="s">
        <v>43</v>
      </c>
      <c r="W18" s="130">
        <v>45800</v>
      </c>
      <c r="X18" s="23" t="s">
        <v>190</v>
      </c>
      <c r="Y18" s="38">
        <v>1797.83</v>
      </c>
      <c r="Z18" s="23"/>
      <c r="AA18" s="23" t="s">
        <v>191</v>
      </c>
    </row>
    <row r="19" spans="1:27" ht="45" x14ac:dyDescent="0.2">
      <c r="A19" s="8" t="s">
        <v>192</v>
      </c>
      <c r="B19" s="8" t="s">
        <v>193</v>
      </c>
      <c r="C19" s="8" t="s">
        <v>4</v>
      </c>
      <c r="D19" s="7"/>
      <c r="E19" s="7"/>
      <c r="F19" s="8" t="s">
        <v>194</v>
      </c>
      <c r="G19" s="15" t="s">
        <v>195</v>
      </c>
      <c r="H19" s="7"/>
      <c r="I19" s="312">
        <v>45330</v>
      </c>
      <c r="J19" s="312">
        <v>45344</v>
      </c>
      <c r="K19" s="7"/>
      <c r="L19" s="8" t="s">
        <v>196</v>
      </c>
      <c r="M19" s="7"/>
      <c r="N19" s="7"/>
      <c r="O19" s="7"/>
      <c r="P19" s="7"/>
      <c r="Q19" s="7"/>
      <c r="R19" s="7"/>
      <c r="S19" s="7"/>
      <c r="T19" s="7"/>
      <c r="U19" s="7"/>
      <c r="V19" s="7"/>
      <c r="W19" s="7"/>
      <c r="X19" s="7"/>
      <c r="Y19" s="7"/>
      <c r="Z19" s="7"/>
      <c r="AA19" s="7"/>
    </row>
    <row r="20" spans="1:27" ht="16" x14ac:dyDescent="0.2">
      <c r="D20" s="204"/>
    </row>
    <row r="21" spans="1:27" ht="16" x14ac:dyDescent="0.2">
      <c r="D21" s="204"/>
    </row>
  </sheetData>
  <autoFilter ref="C1:C21" xr:uid="{02849894-409B-4D2E-AA9E-73ED2AC17D68}"/>
  <hyperlinks>
    <hyperlink ref="G5" r:id="rId1" xr:uid="{D6E532E1-8287-43EA-A7CD-9FE9CD5202E6}"/>
    <hyperlink ref="G19" r:id="rId2" xr:uid="{FCB49F16-A2D6-41C9-9965-E3264542573F}"/>
    <hyperlink ref="G9" r:id="rId3" xr:uid="{03EE3218-4840-4125-88DE-A07F87B20FD4}"/>
    <hyperlink ref="G8" r:id="rId4" xr:uid="{0FDA0E8B-E08A-42AF-B127-0DB9EA872C90}"/>
    <hyperlink ref="G11" r:id="rId5" xr:uid="{A23E25F3-F73B-4012-9E71-281A70DF84AF}"/>
    <hyperlink ref="G13" r:id="rId6" xr:uid="{4C2DA22A-E746-4870-ABAF-9788F683F84F}"/>
    <hyperlink ref="G12" r:id="rId7" xr:uid="{60018DF5-392C-400C-8422-018A6DF781F4}"/>
    <hyperlink ref="G17" r:id="rId8" xr:uid="{AA17AE5E-E715-45DA-9E3D-3B7FFF69B484}"/>
    <hyperlink ref="G16" r:id="rId9" xr:uid="{87B14A2C-18CB-4255-8591-390929F09A53}"/>
    <hyperlink ref="G18" r:id="rId10" xr:uid="{B5D44095-3337-4537-A303-14FDBBAB3E94}"/>
  </hyperlinks>
  <pageMargins left="0.7" right="0.7" top="0.75" bottom="0.75" header="0.3" footer="0.3"/>
  <pageSetup paperSize="9" orientation="portrait" r:id="rId11"/>
  <legacyDrawing r:id="rId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B7AE-2E89-448B-A812-5FE13E2380A5}">
  <dimension ref="A1:DJ40"/>
  <sheetViews>
    <sheetView zoomScale="85" zoomScaleNormal="85" workbookViewId="0">
      <pane xSplit="1" ySplit="1" topLeftCell="B2" activePane="bottomRight" state="frozen"/>
      <selection pane="topRight" activeCell="B1" sqref="B1"/>
      <selection pane="bottomLeft" activeCell="A2" sqref="A2"/>
      <selection pane="bottomRight" activeCell="G3" sqref="G3"/>
    </sheetView>
  </sheetViews>
  <sheetFormatPr baseColWidth="10" defaultColWidth="9.1640625" defaultRowHeight="14" x14ac:dyDescent="0.2"/>
  <cols>
    <col min="1" max="1" width="33.1640625" style="5" bestFit="1" customWidth="1"/>
    <col min="2" max="2" width="25.33203125" style="5" customWidth="1"/>
    <col min="3" max="3" width="17.6640625" style="5" customWidth="1"/>
    <col min="4" max="4" width="31" style="5" customWidth="1"/>
    <col min="5" max="5" width="11.5" style="5" customWidth="1"/>
    <col min="6" max="6" width="27.5" style="5" customWidth="1"/>
    <col min="7" max="7" width="29" style="5" customWidth="1"/>
    <col min="8" max="8" width="23.5" style="5" bestFit="1" customWidth="1"/>
    <col min="9" max="9" width="11.83203125" style="5" customWidth="1"/>
    <col min="10" max="10" width="17.6640625" style="5" customWidth="1"/>
    <col min="11" max="11" width="15.6640625" style="5" customWidth="1"/>
    <col min="12" max="14" width="20.5" style="91" customWidth="1"/>
    <col min="15" max="15" width="44.5" style="5" customWidth="1"/>
    <col min="16" max="17" width="18" style="5" customWidth="1"/>
    <col min="18" max="18" width="15.33203125" style="5" customWidth="1"/>
    <col min="19" max="19" width="12.6640625" style="5" bestFit="1" customWidth="1"/>
    <col min="20" max="20" width="19.1640625" style="91" bestFit="1" customWidth="1"/>
    <col min="21" max="21" width="19.1640625" style="91" customWidth="1"/>
    <col min="22" max="22" width="19.33203125" style="91" bestFit="1" customWidth="1"/>
    <col min="23" max="23" width="20.5" style="91" customWidth="1"/>
    <col min="24" max="25" width="19.33203125" style="91" bestFit="1" customWidth="1"/>
    <col min="26" max="26" width="20.5" style="91" bestFit="1" customWidth="1"/>
    <col min="27" max="28" width="19.6640625" style="91" bestFit="1" customWidth="1"/>
    <col min="29" max="29" width="14.33203125" style="5" customWidth="1"/>
    <col min="30" max="30" width="19.1640625" style="91" customWidth="1"/>
    <col min="31" max="31" width="45.1640625" style="91" customWidth="1"/>
    <col min="32" max="33" width="18.5" style="91" customWidth="1"/>
    <col min="34" max="34" width="19.6640625" style="91" bestFit="1" customWidth="1"/>
    <col min="35" max="35" width="18.5" style="5" customWidth="1"/>
    <col min="36" max="36" width="22.83203125" style="91" bestFit="1" customWidth="1"/>
    <col min="37" max="37" width="22" style="91" bestFit="1" customWidth="1"/>
    <col min="38" max="38" width="36.1640625" style="91" customWidth="1"/>
    <col min="39" max="39" width="28.6640625" style="91" customWidth="1"/>
    <col min="40" max="40" width="18.83203125" style="5" bestFit="1" customWidth="1"/>
    <col min="41" max="41" width="18.83203125" style="56" customWidth="1"/>
    <col min="42" max="42" width="20.5" style="91" bestFit="1" customWidth="1"/>
    <col min="43" max="43" width="21.5" style="91" customWidth="1"/>
    <col min="44" max="44" width="19.5" style="91" bestFit="1" customWidth="1"/>
    <col min="45" max="45" width="14.83203125" style="91" customWidth="1"/>
    <col min="46" max="46" width="16.33203125" style="91" bestFit="1" customWidth="1"/>
    <col min="47" max="47" width="15.33203125" style="5" customWidth="1"/>
    <col min="48" max="48" width="22.1640625" style="91" bestFit="1" customWidth="1"/>
    <col min="49" max="49" width="32.5" style="91" customWidth="1"/>
    <col min="50" max="51" width="19.5" style="91" customWidth="1"/>
    <col min="52" max="52" width="23.1640625" style="91" bestFit="1" customWidth="1"/>
    <col min="53" max="53" width="22.5" style="91" bestFit="1" customWidth="1"/>
    <col min="54" max="54" width="19.83203125" style="91" bestFit="1" customWidth="1"/>
    <col min="55" max="55" width="19.83203125" style="91" customWidth="1"/>
    <col min="56" max="56" width="32.1640625" style="5" bestFit="1" customWidth="1"/>
    <col min="57" max="57" width="12.6640625" style="5" customWidth="1"/>
    <col min="58" max="58" width="15.1640625" style="18" bestFit="1" customWidth="1"/>
    <col min="59" max="59" width="42.33203125" style="5" bestFit="1" customWidth="1"/>
    <col min="60" max="16384" width="9.1640625" style="5"/>
  </cols>
  <sheetData>
    <row r="1" spans="1:114" s="6" customFormat="1" ht="84" x14ac:dyDescent="0.2">
      <c r="A1" s="1" t="s">
        <v>11</v>
      </c>
      <c r="B1" s="1" t="s">
        <v>12</v>
      </c>
      <c r="C1" s="1" t="s">
        <v>13</v>
      </c>
      <c r="D1" s="1" t="s">
        <v>14</v>
      </c>
      <c r="E1" s="1" t="s">
        <v>15</v>
      </c>
      <c r="F1" s="1" t="s">
        <v>16</v>
      </c>
      <c r="G1" s="2" t="s">
        <v>17</v>
      </c>
      <c r="H1" s="2" t="s">
        <v>18</v>
      </c>
      <c r="I1" s="1" t="s">
        <v>197</v>
      </c>
      <c r="J1" s="2" t="s">
        <v>198</v>
      </c>
      <c r="K1" s="2" t="s">
        <v>199</v>
      </c>
      <c r="L1" s="85" t="s">
        <v>19</v>
      </c>
      <c r="M1" s="85" t="s">
        <v>200</v>
      </c>
      <c r="N1" s="85" t="s">
        <v>21</v>
      </c>
      <c r="O1" s="2" t="s">
        <v>22</v>
      </c>
      <c r="P1" s="2" t="s">
        <v>23</v>
      </c>
      <c r="Q1" s="2" t="s">
        <v>201</v>
      </c>
      <c r="R1" s="2" t="s">
        <v>24</v>
      </c>
      <c r="S1" s="2" t="s">
        <v>202</v>
      </c>
      <c r="T1" s="85" t="s">
        <v>203</v>
      </c>
      <c r="U1" s="85" t="s">
        <v>204</v>
      </c>
      <c r="V1" s="85" t="s">
        <v>205</v>
      </c>
      <c r="W1" s="85" t="s">
        <v>206</v>
      </c>
      <c r="X1" s="85" t="s">
        <v>207</v>
      </c>
      <c r="Y1" s="85" t="s">
        <v>208</v>
      </c>
      <c r="Z1" s="85" t="s">
        <v>209</v>
      </c>
      <c r="AA1" s="85" t="s">
        <v>210</v>
      </c>
      <c r="AB1" s="85" t="s">
        <v>211</v>
      </c>
      <c r="AC1" s="2" t="s">
        <v>212</v>
      </c>
      <c r="AD1" s="85" t="s">
        <v>213</v>
      </c>
      <c r="AE1" s="85" t="s">
        <v>214</v>
      </c>
      <c r="AF1" s="85" t="s">
        <v>215</v>
      </c>
      <c r="AG1" s="85" t="s">
        <v>216</v>
      </c>
      <c r="AH1" s="3" t="s">
        <v>217</v>
      </c>
      <c r="AI1" s="2" t="s">
        <v>218</v>
      </c>
      <c r="AJ1" s="85" t="s">
        <v>219</v>
      </c>
      <c r="AK1" s="85" t="s">
        <v>220</v>
      </c>
      <c r="AL1" s="3" t="s">
        <v>221</v>
      </c>
      <c r="AM1" s="3" t="s">
        <v>222</v>
      </c>
      <c r="AN1" s="1" t="s">
        <v>223</v>
      </c>
      <c r="AO1" s="49" t="s">
        <v>224</v>
      </c>
      <c r="AP1" s="3" t="s">
        <v>225</v>
      </c>
      <c r="AQ1" s="3" t="s">
        <v>226</v>
      </c>
      <c r="AR1" s="3" t="s">
        <v>227</v>
      </c>
      <c r="AS1" s="3" t="s">
        <v>228</v>
      </c>
      <c r="AT1" s="3" t="s">
        <v>229</v>
      </c>
      <c r="AU1" s="1" t="s">
        <v>230</v>
      </c>
      <c r="AV1" s="3" t="s">
        <v>231</v>
      </c>
      <c r="AW1" s="3" t="s">
        <v>232</v>
      </c>
      <c r="AX1" s="3" t="s">
        <v>233</v>
      </c>
      <c r="AY1" s="3" t="s">
        <v>234</v>
      </c>
      <c r="AZ1" s="3" t="s">
        <v>235</v>
      </c>
      <c r="BA1" s="3" t="s">
        <v>236</v>
      </c>
      <c r="BB1" s="3" t="s">
        <v>237</v>
      </c>
      <c r="BC1" s="3" t="s">
        <v>238</v>
      </c>
      <c r="BD1" s="4" t="s">
        <v>239</v>
      </c>
      <c r="BE1" s="4" t="s">
        <v>240</v>
      </c>
      <c r="BF1" s="16" t="s">
        <v>241</v>
      </c>
      <c r="BG1" s="3" t="s">
        <v>242</v>
      </c>
      <c r="BH1" s="5"/>
      <c r="BI1" s="5"/>
      <c r="BJ1" s="5"/>
      <c r="BK1" s="5"/>
      <c r="BL1" s="5"/>
      <c r="BM1" s="5"/>
      <c r="BN1" s="5"/>
    </row>
    <row r="2" spans="1:114" ht="120" x14ac:dyDescent="0.2">
      <c r="A2" s="14" t="s">
        <v>243</v>
      </c>
      <c r="B2" s="22" t="s">
        <v>244</v>
      </c>
      <c r="C2" s="23" t="s">
        <v>4</v>
      </c>
      <c r="D2" s="22" t="s">
        <v>245</v>
      </c>
      <c r="E2" s="23" t="s">
        <v>246</v>
      </c>
      <c r="F2" s="22" t="s">
        <v>247</v>
      </c>
      <c r="G2" s="22" t="s">
        <v>248</v>
      </c>
      <c r="H2" s="22" t="s">
        <v>249</v>
      </c>
      <c r="I2" s="22" t="s">
        <v>250</v>
      </c>
      <c r="J2" s="23" t="s">
        <v>38</v>
      </c>
      <c r="K2" s="22" t="s">
        <v>251</v>
      </c>
      <c r="L2" s="86">
        <v>44687</v>
      </c>
      <c r="M2" s="92">
        <v>44701</v>
      </c>
      <c r="N2" s="86">
        <v>44704</v>
      </c>
      <c r="O2" s="22" t="s">
        <v>252</v>
      </c>
      <c r="P2" s="23" t="s">
        <v>253</v>
      </c>
      <c r="Q2" s="23"/>
      <c r="R2" s="23" t="s">
        <v>53</v>
      </c>
      <c r="S2" s="25">
        <v>47009</v>
      </c>
      <c r="T2" s="92">
        <v>44705</v>
      </c>
      <c r="U2" s="92">
        <v>44686</v>
      </c>
      <c r="V2" s="92">
        <v>44705</v>
      </c>
      <c r="W2" s="92">
        <v>44705</v>
      </c>
      <c r="X2" s="92"/>
      <c r="Y2" s="92"/>
      <c r="Z2" s="92">
        <v>44713</v>
      </c>
      <c r="AA2" s="92">
        <v>44713</v>
      </c>
      <c r="AB2" s="92">
        <v>44720</v>
      </c>
      <c r="AC2" s="24"/>
      <c r="AD2" s="93">
        <v>44718</v>
      </c>
      <c r="AE2" s="93">
        <v>44718</v>
      </c>
      <c r="AF2" s="92">
        <v>44712</v>
      </c>
      <c r="AG2" s="92" t="s">
        <v>43</v>
      </c>
      <c r="AH2" s="93" t="s">
        <v>254</v>
      </c>
      <c r="AI2" s="27" t="s">
        <v>255</v>
      </c>
      <c r="AJ2" s="92">
        <v>44719</v>
      </c>
      <c r="AK2" s="93">
        <v>44749</v>
      </c>
      <c r="AL2" s="92">
        <v>44719</v>
      </c>
      <c r="AM2" s="92">
        <v>44749</v>
      </c>
      <c r="AN2" s="26" t="s">
        <v>256</v>
      </c>
      <c r="AO2" s="50">
        <v>337.1</v>
      </c>
      <c r="AP2" s="92">
        <v>44749</v>
      </c>
      <c r="AQ2" s="93" t="s">
        <v>257</v>
      </c>
      <c r="AR2" s="92">
        <v>44755</v>
      </c>
      <c r="AS2" s="97"/>
      <c r="AT2" s="92">
        <v>44781</v>
      </c>
      <c r="AU2" s="24">
        <v>44763</v>
      </c>
      <c r="AV2" s="92">
        <v>44763</v>
      </c>
      <c r="AW2" s="92">
        <v>44774</v>
      </c>
      <c r="AX2" s="92" t="s">
        <v>43</v>
      </c>
      <c r="AY2" s="92"/>
      <c r="AZ2" s="98">
        <v>44782</v>
      </c>
      <c r="BA2" s="98">
        <f>AA2+7*13</f>
        <v>44804</v>
      </c>
      <c r="BB2" s="99">
        <f>AA2+7*26</f>
        <v>44895</v>
      </c>
      <c r="BC2" s="99"/>
      <c r="BD2" s="28">
        <v>44797</v>
      </c>
      <c r="BE2" s="30" t="s">
        <v>258</v>
      </c>
      <c r="BF2" s="31">
        <f t="shared" ref="BF2:BF15" si="0">(BD2-AA2)/7</f>
        <v>12</v>
      </c>
      <c r="BG2" s="22" t="s">
        <v>259</v>
      </c>
    </row>
    <row r="3" spans="1:114" ht="255" x14ac:dyDescent="0.2">
      <c r="A3" s="14" t="s">
        <v>260</v>
      </c>
      <c r="B3" s="22" t="s">
        <v>261</v>
      </c>
      <c r="C3" s="23" t="s">
        <v>4</v>
      </c>
      <c r="D3" s="22" t="s">
        <v>262</v>
      </c>
      <c r="E3" s="23"/>
      <c r="F3" s="22" t="s">
        <v>263</v>
      </c>
      <c r="G3" s="22" t="s">
        <v>264</v>
      </c>
      <c r="H3" s="22" t="s">
        <v>265</v>
      </c>
      <c r="I3" s="23" t="s">
        <v>266</v>
      </c>
      <c r="J3" s="23" t="s">
        <v>267</v>
      </c>
      <c r="K3" s="23" t="s">
        <v>268</v>
      </c>
      <c r="L3" s="86">
        <v>44643</v>
      </c>
      <c r="M3" s="92">
        <v>44657</v>
      </c>
      <c r="N3" s="87"/>
      <c r="O3" s="22" t="s">
        <v>269</v>
      </c>
      <c r="P3" s="23" t="s">
        <v>270</v>
      </c>
      <c r="Q3" s="23"/>
      <c r="R3" s="23" t="s">
        <v>53</v>
      </c>
      <c r="S3" s="25">
        <v>24239</v>
      </c>
      <c r="T3" s="92">
        <v>44663</v>
      </c>
      <c r="U3" s="92">
        <v>44663</v>
      </c>
      <c r="V3" s="92">
        <v>44663</v>
      </c>
      <c r="W3" s="92">
        <v>44665</v>
      </c>
      <c r="X3" s="92">
        <v>44664</v>
      </c>
      <c r="Y3" s="92"/>
      <c r="Z3" s="92">
        <v>44672</v>
      </c>
      <c r="AA3" s="92">
        <v>44672</v>
      </c>
      <c r="AB3" s="93">
        <v>44679</v>
      </c>
      <c r="AC3" s="24"/>
      <c r="AD3" s="92">
        <v>44676</v>
      </c>
      <c r="AE3" s="92">
        <v>44677</v>
      </c>
      <c r="AF3" s="92">
        <v>44670</v>
      </c>
      <c r="AG3" s="92" t="s">
        <v>43</v>
      </c>
      <c r="AH3" s="92">
        <v>44679</v>
      </c>
      <c r="AI3" s="26" t="s">
        <v>271</v>
      </c>
      <c r="AJ3" s="92">
        <v>44678</v>
      </c>
      <c r="AK3" s="92">
        <v>44706</v>
      </c>
      <c r="AL3" s="92">
        <v>44679</v>
      </c>
      <c r="AM3" s="92">
        <v>44706</v>
      </c>
      <c r="AN3" s="26" t="s">
        <v>272</v>
      </c>
      <c r="AO3" s="50">
        <v>181.05</v>
      </c>
      <c r="AP3" s="92">
        <v>44706</v>
      </c>
      <c r="AQ3" s="92">
        <v>44711</v>
      </c>
      <c r="AR3" s="92">
        <v>44711</v>
      </c>
      <c r="AS3" s="92">
        <v>44719</v>
      </c>
      <c r="AT3" s="92">
        <v>44720</v>
      </c>
      <c r="AU3" s="26" t="s">
        <v>273</v>
      </c>
      <c r="AV3" s="92">
        <v>44777</v>
      </c>
      <c r="AW3" s="97"/>
      <c r="AX3" s="93" t="s">
        <v>274</v>
      </c>
      <c r="AY3" s="93"/>
      <c r="AZ3" s="98">
        <v>44798</v>
      </c>
      <c r="BA3" s="99">
        <v>44847</v>
      </c>
      <c r="BB3" s="99">
        <f>AA3+7*26</f>
        <v>44854</v>
      </c>
      <c r="BC3" s="99"/>
      <c r="BD3" s="28">
        <v>44845</v>
      </c>
      <c r="BE3" s="30" t="s">
        <v>258</v>
      </c>
      <c r="BF3" s="31">
        <f t="shared" si="0"/>
        <v>24.714285714285715</v>
      </c>
      <c r="BG3" s="22" t="s">
        <v>275</v>
      </c>
    </row>
    <row r="4" spans="1:114" s="7" customFormat="1" ht="255" x14ac:dyDescent="0.2">
      <c r="A4" s="14" t="s">
        <v>276</v>
      </c>
      <c r="B4" s="27" t="s">
        <v>277</v>
      </c>
      <c r="C4" s="23" t="s">
        <v>4</v>
      </c>
      <c r="D4" s="22" t="s">
        <v>278</v>
      </c>
      <c r="E4" s="23"/>
      <c r="F4" s="22" t="s">
        <v>279</v>
      </c>
      <c r="G4" s="32" t="s">
        <v>280</v>
      </c>
      <c r="H4" s="33" t="s">
        <v>281</v>
      </c>
      <c r="I4" s="22" t="s">
        <v>282</v>
      </c>
      <c r="J4" s="23" t="s">
        <v>283</v>
      </c>
      <c r="K4" s="23"/>
      <c r="L4" s="87">
        <v>44824</v>
      </c>
      <c r="M4" s="87">
        <v>44834</v>
      </c>
      <c r="N4" s="87">
        <v>44834</v>
      </c>
      <c r="O4" s="22" t="s">
        <v>284</v>
      </c>
      <c r="P4" s="23" t="s">
        <v>285</v>
      </c>
      <c r="Q4" s="23"/>
      <c r="R4" s="23" t="s">
        <v>53</v>
      </c>
      <c r="S4" s="25">
        <v>23438</v>
      </c>
      <c r="T4" s="86">
        <v>44840</v>
      </c>
      <c r="U4" s="86">
        <v>44839</v>
      </c>
      <c r="V4" s="86">
        <v>44840</v>
      </c>
      <c r="W4" s="86">
        <v>44846</v>
      </c>
      <c r="X4" s="86">
        <v>44846</v>
      </c>
      <c r="Y4" s="86"/>
      <c r="Z4" s="86">
        <v>44847</v>
      </c>
      <c r="AA4" s="86">
        <v>44848</v>
      </c>
      <c r="AB4" s="86">
        <v>44855</v>
      </c>
      <c r="AC4" s="22" t="s">
        <v>286</v>
      </c>
      <c r="AD4" s="86">
        <v>44852</v>
      </c>
      <c r="AE4" s="86">
        <v>44852</v>
      </c>
      <c r="AF4" s="86">
        <v>44844</v>
      </c>
      <c r="AG4" s="86" t="s">
        <v>43</v>
      </c>
      <c r="AH4" s="86">
        <v>44840</v>
      </c>
      <c r="AI4" s="22" t="s">
        <v>287</v>
      </c>
      <c r="AJ4" s="86">
        <v>44853</v>
      </c>
      <c r="AK4" s="87" t="s">
        <v>288</v>
      </c>
      <c r="AL4" s="86">
        <v>44855</v>
      </c>
      <c r="AM4" s="86">
        <v>44882</v>
      </c>
      <c r="AN4" s="34" t="s">
        <v>289</v>
      </c>
      <c r="AO4" s="51">
        <v>497.54</v>
      </c>
      <c r="AP4" s="86">
        <v>44882</v>
      </c>
      <c r="AQ4" s="87" t="s">
        <v>290</v>
      </c>
      <c r="AR4" s="86" t="s">
        <v>43</v>
      </c>
      <c r="AS4" s="87" t="s">
        <v>291</v>
      </c>
      <c r="AT4" s="86"/>
      <c r="AU4" s="23"/>
      <c r="AV4" s="86">
        <v>44893</v>
      </c>
      <c r="AW4" s="86"/>
      <c r="AX4" s="86"/>
      <c r="AY4" s="86"/>
      <c r="AZ4" s="86">
        <v>44907</v>
      </c>
      <c r="BA4" s="99">
        <v>44939</v>
      </c>
      <c r="BB4" s="99">
        <v>45030</v>
      </c>
      <c r="BC4" s="99"/>
      <c r="BD4" s="29">
        <v>45027</v>
      </c>
      <c r="BE4" s="30" t="s">
        <v>258</v>
      </c>
      <c r="BF4" s="31">
        <f t="shared" si="0"/>
        <v>25.571428571428573</v>
      </c>
      <c r="BG4" s="22" t="s">
        <v>292</v>
      </c>
      <c r="BH4" s="19"/>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row>
    <row r="5" spans="1:114" ht="285" x14ac:dyDescent="0.2">
      <c r="A5" s="14" t="s">
        <v>293</v>
      </c>
      <c r="B5" s="27" t="s">
        <v>294</v>
      </c>
      <c r="C5" s="23" t="s">
        <v>4</v>
      </c>
      <c r="D5" s="22" t="s">
        <v>295</v>
      </c>
      <c r="E5" s="23" t="s">
        <v>246</v>
      </c>
      <c r="F5" s="23" t="s">
        <v>296</v>
      </c>
      <c r="G5" s="22" t="s">
        <v>297</v>
      </c>
      <c r="H5" s="22" t="s">
        <v>298</v>
      </c>
      <c r="I5" s="22" t="s">
        <v>299</v>
      </c>
      <c r="J5" s="23" t="s">
        <v>267</v>
      </c>
      <c r="K5" s="23"/>
      <c r="L5" s="86">
        <v>44742</v>
      </c>
      <c r="M5" s="92">
        <v>44756</v>
      </c>
      <c r="N5" s="92">
        <v>44757</v>
      </c>
      <c r="O5" s="22" t="s">
        <v>300</v>
      </c>
      <c r="P5" s="23" t="s">
        <v>72</v>
      </c>
      <c r="Q5" s="23"/>
      <c r="R5" s="23" t="s">
        <v>301</v>
      </c>
      <c r="S5" s="35">
        <v>114767</v>
      </c>
      <c r="T5" s="92">
        <v>44762</v>
      </c>
      <c r="U5" s="92">
        <v>44762</v>
      </c>
      <c r="V5" s="92">
        <v>44762</v>
      </c>
      <c r="W5" s="92">
        <v>44768</v>
      </c>
      <c r="X5" s="92">
        <v>44768</v>
      </c>
      <c r="Y5" s="92"/>
      <c r="Z5" s="92">
        <v>44771</v>
      </c>
      <c r="AA5" s="93">
        <v>44771</v>
      </c>
      <c r="AB5" s="87" t="s">
        <v>302</v>
      </c>
      <c r="AC5" s="36" t="s">
        <v>303</v>
      </c>
      <c r="AD5" s="92">
        <v>44777</v>
      </c>
      <c r="AE5" s="92">
        <v>44777</v>
      </c>
      <c r="AF5" s="92">
        <v>44768</v>
      </c>
      <c r="AG5" s="92" t="s">
        <v>43</v>
      </c>
      <c r="AH5" s="92">
        <v>44762</v>
      </c>
      <c r="AI5" s="22" t="s">
        <v>304</v>
      </c>
      <c r="AJ5" s="92">
        <v>44777</v>
      </c>
      <c r="AK5" s="92">
        <v>44809</v>
      </c>
      <c r="AL5" s="92">
        <v>44778</v>
      </c>
      <c r="AM5" s="92">
        <v>44809</v>
      </c>
      <c r="AN5" s="20" t="s">
        <v>305</v>
      </c>
      <c r="AO5" s="52">
        <v>162.87</v>
      </c>
      <c r="AP5" s="92">
        <v>44809</v>
      </c>
      <c r="AQ5" s="86">
        <v>44816</v>
      </c>
      <c r="AR5" s="93" t="s">
        <v>306</v>
      </c>
      <c r="AS5" s="86"/>
      <c r="AT5" s="86"/>
      <c r="AU5" s="26" t="s">
        <v>307</v>
      </c>
      <c r="AV5" s="92">
        <v>44979</v>
      </c>
      <c r="AW5" s="92">
        <v>44986</v>
      </c>
      <c r="AX5" s="86"/>
      <c r="AY5" s="86"/>
      <c r="AZ5" s="98">
        <v>44994</v>
      </c>
      <c r="BA5" s="100" t="s">
        <v>308</v>
      </c>
      <c r="BB5" s="98">
        <v>45113</v>
      </c>
      <c r="BC5" s="98"/>
      <c r="BD5" s="28">
        <v>45055</v>
      </c>
      <c r="BE5" s="23" t="s">
        <v>258</v>
      </c>
      <c r="BF5" s="31">
        <f t="shared" si="0"/>
        <v>40.571428571428569</v>
      </c>
      <c r="BG5" s="22" t="s">
        <v>309</v>
      </c>
    </row>
    <row r="6" spans="1:114" ht="90" x14ac:dyDescent="0.2">
      <c r="A6" s="14" t="s">
        <v>310</v>
      </c>
      <c r="B6" s="27" t="s">
        <v>311</v>
      </c>
      <c r="C6" s="23" t="s">
        <v>4</v>
      </c>
      <c r="D6" s="22" t="s">
        <v>312</v>
      </c>
      <c r="E6" s="23"/>
      <c r="F6" s="22" t="s">
        <v>313</v>
      </c>
      <c r="G6" s="32" t="s">
        <v>314</v>
      </c>
      <c r="H6" s="33" t="s">
        <v>315</v>
      </c>
      <c r="I6" s="23"/>
      <c r="J6" s="23"/>
      <c r="K6" s="37"/>
      <c r="L6" s="87">
        <v>44911</v>
      </c>
      <c r="M6" s="93" t="s">
        <v>316</v>
      </c>
      <c r="N6" s="87">
        <v>44953</v>
      </c>
      <c r="O6" s="22" t="s">
        <v>317</v>
      </c>
      <c r="P6" s="22" t="s">
        <v>318</v>
      </c>
      <c r="Q6" s="22"/>
      <c r="R6" s="23" t="s">
        <v>53</v>
      </c>
      <c r="S6" s="38">
        <v>10626</v>
      </c>
      <c r="T6" s="86">
        <v>44957</v>
      </c>
      <c r="U6" s="86">
        <v>44957</v>
      </c>
      <c r="V6" s="86">
        <v>44957</v>
      </c>
      <c r="W6" s="86">
        <v>44964</v>
      </c>
      <c r="X6" s="86">
        <v>44959</v>
      </c>
      <c r="Y6" s="86"/>
      <c r="Z6" s="86">
        <v>44971</v>
      </c>
      <c r="AA6" s="86">
        <v>44971</v>
      </c>
      <c r="AB6" s="86">
        <v>44973</v>
      </c>
      <c r="AC6" s="23"/>
      <c r="AD6" s="86">
        <v>44973</v>
      </c>
      <c r="AE6" s="86">
        <v>44973</v>
      </c>
      <c r="AF6" s="86">
        <v>44964</v>
      </c>
      <c r="AG6" s="86" t="s">
        <v>43</v>
      </c>
      <c r="AH6" s="86">
        <v>44958</v>
      </c>
      <c r="AI6" s="22" t="s">
        <v>319</v>
      </c>
      <c r="AJ6" s="86">
        <v>44973</v>
      </c>
      <c r="AK6" s="86">
        <v>45001</v>
      </c>
      <c r="AL6" s="86">
        <v>44974</v>
      </c>
      <c r="AM6" s="86">
        <v>45001</v>
      </c>
      <c r="AN6" s="22" t="s">
        <v>320</v>
      </c>
      <c r="AO6" s="51">
        <v>238.81</v>
      </c>
      <c r="AP6" s="86">
        <v>45001</v>
      </c>
      <c r="AQ6" s="86">
        <v>45001</v>
      </c>
      <c r="AR6" s="86" t="s">
        <v>43</v>
      </c>
      <c r="AS6" s="86"/>
      <c r="AT6" s="86"/>
      <c r="AU6" s="23"/>
      <c r="AV6" s="86" t="s">
        <v>43</v>
      </c>
      <c r="AW6" s="86" t="s">
        <v>43</v>
      </c>
      <c r="AX6" s="86"/>
      <c r="AY6" s="86"/>
      <c r="AZ6" s="86" t="s">
        <v>321</v>
      </c>
      <c r="BA6" s="99">
        <v>45062</v>
      </c>
      <c r="BB6" s="99">
        <v>45148</v>
      </c>
      <c r="BC6" s="99"/>
      <c r="BD6" s="29">
        <v>45057</v>
      </c>
      <c r="BE6" s="23" t="s">
        <v>322</v>
      </c>
      <c r="BF6" s="31">
        <f t="shared" si="0"/>
        <v>12.285714285714286</v>
      </c>
      <c r="BG6" s="22" t="s">
        <v>323</v>
      </c>
    </row>
    <row r="7" spans="1:114" ht="225" x14ac:dyDescent="0.2">
      <c r="A7" s="224" t="s">
        <v>324</v>
      </c>
      <c r="B7" s="108" t="s">
        <v>325</v>
      </c>
      <c r="C7" s="109" t="s">
        <v>4</v>
      </c>
      <c r="D7" s="40" t="s">
        <v>326</v>
      </c>
      <c r="E7" s="109" t="s">
        <v>246</v>
      </c>
      <c r="F7" s="40" t="s">
        <v>327</v>
      </c>
      <c r="G7" s="225" t="s">
        <v>328</v>
      </c>
      <c r="H7" s="151" t="s">
        <v>329</v>
      </c>
      <c r="I7" s="109"/>
      <c r="J7" s="109"/>
      <c r="K7" s="226">
        <v>125393</v>
      </c>
      <c r="L7" s="112">
        <v>44769</v>
      </c>
      <c r="M7" s="113" t="s">
        <v>330</v>
      </c>
      <c r="N7" s="115">
        <v>44818</v>
      </c>
      <c r="O7" s="40" t="s">
        <v>331</v>
      </c>
      <c r="P7" s="40" t="s">
        <v>332</v>
      </c>
      <c r="Q7" s="40"/>
      <c r="R7" s="109" t="s">
        <v>301</v>
      </c>
      <c r="S7" s="109" t="s">
        <v>333</v>
      </c>
      <c r="T7" s="115">
        <v>44827</v>
      </c>
      <c r="U7" s="113">
        <v>44777</v>
      </c>
      <c r="V7" s="115">
        <v>44827</v>
      </c>
      <c r="W7" s="112" t="s">
        <v>334</v>
      </c>
      <c r="X7" s="112" t="s">
        <v>335</v>
      </c>
      <c r="Y7" s="115"/>
      <c r="Z7" s="115">
        <v>44854</v>
      </c>
      <c r="AA7" s="115">
        <v>44854</v>
      </c>
      <c r="AB7" s="112" t="s">
        <v>336</v>
      </c>
      <c r="AC7" s="40" t="s">
        <v>337</v>
      </c>
      <c r="AD7" s="115">
        <v>44966</v>
      </c>
      <c r="AE7" s="115">
        <v>44967</v>
      </c>
      <c r="AF7" s="115">
        <v>44831</v>
      </c>
      <c r="AG7" s="115" t="s">
        <v>43</v>
      </c>
      <c r="AH7" s="115">
        <v>44819</v>
      </c>
      <c r="AI7" s="40" t="s">
        <v>338</v>
      </c>
      <c r="AJ7" s="115">
        <v>44967</v>
      </c>
      <c r="AK7" s="115">
        <v>45005</v>
      </c>
      <c r="AL7" s="115">
        <v>44971</v>
      </c>
      <c r="AM7" s="115">
        <v>45005</v>
      </c>
      <c r="AN7" s="40" t="s">
        <v>339</v>
      </c>
      <c r="AO7" s="227">
        <v>782.46</v>
      </c>
      <c r="AP7" s="115">
        <v>45005</v>
      </c>
      <c r="AQ7" s="115"/>
      <c r="AR7" s="115" t="s">
        <v>43</v>
      </c>
      <c r="AS7" s="115"/>
      <c r="AT7" s="115"/>
      <c r="AU7" s="109"/>
      <c r="AV7" s="115" t="s">
        <v>43</v>
      </c>
      <c r="AW7" s="115" t="s">
        <v>43</v>
      </c>
      <c r="AX7" s="115"/>
      <c r="AY7" s="115"/>
      <c r="AZ7" s="228" t="s">
        <v>321</v>
      </c>
      <c r="BA7" s="115">
        <v>45078</v>
      </c>
      <c r="BB7" s="115">
        <v>45148</v>
      </c>
      <c r="BC7" s="115"/>
      <c r="BD7" s="313">
        <v>45057</v>
      </c>
      <c r="BE7" s="109" t="s">
        <v>322</v>
      </c>
      <c r="BF7" s="229">
        <f t="shared" si="0"/>
        <v>29</v>
      </c>
      <c r="BG7" s="230" t="s">
        <v>323</v>
      </c>
      <c r="BH7" s="223"/>
    </row>
    <row r="8" spans="1:114" ht="150" x14ac:dyDescent="0.2">
      <c r="A8" s="14" t="s">
        <v>340</v>
      </c>
      <c r="B8" s="27" t="s">
        <v>341</v>
      </c>
      <c r="C8" s="23" t="s">
        <v>4</v>
      </c>
      <c r="D8" s="22" t="s">
        <v>342</v>
      </c>
      <c r="E8" s="23"/>
      <c r="F8" s="23" t="s">
        <v>343</v>
      </c>
      <c r="G8" s="39" t="s">
        <v>344</v>
      </c>
      <c r="H8" s="23" t="s">
        <v>345</v>
      </c>
      <c r="I8" s="23" t="s">
        <v>346</v>
      </c>
      <c r="J8" s="22" t="s">
        <v>347</v>
      </c>
      <c r="K8" s="23"/>
      <c r="L8" s="87">
        <v>44879</v>
      </c>
      <c r="M8" s="87">
        <v>44889</v>
      </c>
      <c r="N8" s="87">
        <v>44890</v>
      </c>
      <c r="O8" s="22" t="s">
        <v>348</v>
      </c>
      <c r="P8" s="23" t="s">
        <v>349</v>
      </c>
      <c r="Q8" s="23"/>
      <c r="R8" s="23" t="s">
        <v>53</v>
      </c>
      <c r="S8" s="23" t="s">
        <v>350</v>
      </c>
      <c r="T8" s="86">
        <v>44895</v>
      </c>
      <c r="U8" s="86">
        <v>44895</v>
      </c>
      <c r="V8" s="86">
        <v>44895</v>
      </c>
      <c r="W8" s="86">
        <v>44900</v>
      </c>
      <c r="X8" s="86">
        <v>44901</v>
      </c>
      <c r="Y8" s="86"/>
      <c r="Z8" s="86">
        <v>44902</v>
      </c>
      <c r="AA8" s="86">
        <v>44902</v>
      </c>
      <c r="AB8" s="86"/>
      <c r="AC8" s="23"/>
      <c r="AD8" s="86">
        <v>44902</v>
      </c>
      <c r="AE8" s="86">
        <v>44903</v>
      </c>
      <c r="AF8" s="86">
        <v>44896</v>
      </c>
      <c r="AG8" s="86" t="s">
        <v>43</v>
      </c>
      <c r="AH8" s="86">
        <v>44895</v>
      </c>
      <c r="AI8" s="22" t="s">
        <v>351</v>
      </c>
      <c r="AJ8" s="86">
        <v>44903</v>
      </c>
      <c r="AK8" s="86">
        <v>44943</v>
      </c>
      <c r="AL8" s="86">
        <v>44907</v>
      </c>
      <c r="AM8" s="86">
        <v>44943</v>
      </c>
      <c r="AN8" s="22" t="s">
        <v>352</v>
      </c>
      <c r="AO8" s="51">
        <v>238.79</v>
      </c>
      <c r="AP8" s="86">
        <v>44943</v>
      </c>
      <c r="AQ8" s="87" t="s">
        <v>353</v>
      </c>
      <c r="AR8" s="86">
        <v>44951</v>
      </c>
      <c r="AS8" s="86"/>
      <c r="AT8" s="87" t="s">
        <v>354</v>
      </c>
      <c r="AU8" s="22" t="s">
        <v>355</v>
      </c>
      <c r="AV8" s="86"/>
      <c r="AW8" s="86">
        <v>45035</v>
      </c>
      <c r="AX8" s="86">
        <v>45065</v>
      </c>
      <c r="AY8" s="86"/>
      <c r="AZ8" s="86">
        <v>45044</v>
      </c>
      <c r="BA8" s="99">
        <v>45076</v>
      </c>
      <c r="BB8" s="86"/>
      <c r="BC8" s="86"/>
      <c r="BD8" s="29">
        <v>45076</v>
      </c>
      <c r="BE8" s="23" t="s">
        <v>258</v>
      </c>
      <c r="BF8" s="31">
        <f t="shared" si="0"/>
        <v>24.857142857142858</v>
      </c>
      <c r="BG8" s="22" t="s">
        <v>356</v>
      </c>
    </row>
    <row r="9" spans="1:114" ht="240" x14ac:dyDescent="0.2">
      <c r="A9" s="231" t="s">
        <v>357</v>
      </c>
      <c r="B9" s="232" t="s">
        <v>358</v>
      </c>
      <c r="C9" s="233" t="s">
        <v>4</v>
      </c>
      <c r="D9" s="234" t="s">
        <v>359</v>
      </c>
      <c r="E9" s="233" t="s">
        <v>360</v>
      </c>
      <c r="F9" s="234" t="s">
        <v>361</v>
      </c>
      <c r="G9" s="234" t="s">
        <v>362</v>
      </c>
      <c r="H9" s="41" t="s">
        <v>363</v>
      </c>
      <c r="I9" s="233" t="s">
        <v>266</v>
      </c>
      <c r="J9" s="233" t="s">
        <v>43</v>
      </c>
      <c r="K9" s="233"/>
      <c r="L9" s="235" t="s">
        <v>364</v>
      </c>
      <c r="M9" s="236">
        <v>44771</v>
      </c>
      <c r="N9" s="236">
        <v>44771</v>
      </c>
      <c r="O9" s="42" t="s">
        <v>365</v>
      </c>
      <c r="P9" s="233" t="s">
        <v>153</v>
      </c>
      <c r="Q9" s="233"/>
      <c r="R9" s="234" t="s">
        <v>366</v>
      </c>
      <c r="S9" s="237">
        <v>15296</v>
      </c>
      <c r="T9" s="238">
        <v>44775</v>
      </c>
      <c r="U9" s="238">
        <v>44775</v>
      </c>
      <c r="V9" s="238">
        <v>44775</v>
      </c>
      <c r="W9" s="238">
        <v>44778</v>
      </c>
      <c r="X9" s="238">
        <v>44776</v>
      </c>
      <c r="Y9" s="238"/>
      <c r="Z9" s="238">
        <v>44785</v>
      </c>
      <c r="AA9" s="238">
        <v>44790</v>
      </c>
      <c r="AB9" s="238">
        <v>44797</v>
      </c>
      <c r="AC9" s="233" t="s">
        <v>266</v>
      </c>
      <c r="AD9" s="238">
        <v>44797</v>
      </c>
      <c r="AE9" s="238">
        <v>44798</v>
      </c>
      <c r="AF9" s="238">
        <v>44781</v>
      </c>
      <c r="AG9" s="238" t="s">
        <v>43</v>
      </c>
      <c r="AH9" s="238">
        <v>44798</v>
      </c>
      <c r="AI9" s="234" t="s">
        <v>367</v>
      </c>
      <c r="AJ9" s="238">
        <v>44798</v>
      </c>
      <c r="AK9" s="238">
        <v>44827</v>
      </c>
      <c r="AL9" s="238">
        <v>44799</v>
      </c>
      <c r="AM9" s="238">
        <v>44827</v>
      </c>
      <c r="AN9" s="239" t="s">
        <v>368</v>
      </c>
      <c r="AO9" s="240">
        <v>452.58</v>
      </c>
      <c r="AP9" s="238">
        <v>44827</v>
      </c>
      <c r="AQ9" s="235" t="s">
        <v>369</v>
      </c>
      <c r="AR9" s="238">
        <v>44827</v>
      </c>
      <c r="AS9" s="238"/>
      <c r="AT9" s="238"/>
      <c r="AU9" s="234" t="s">
        <v>370</v>
      </c>
      <c r="AV9" s="238">
        <v>45040</v>
      </c>
      <c r="AW9" s="238"/>
      <c r="AX9" s="238"/>
      <c r="AY9" s="238"/>
      <c r="AZ9" s="241" t="s">
        <v>371</v>
      </c>
      <c r="BA9" s="242">
        <v>45093</v>
      </c>
      <c r="BB9" s="238" t="s">
        <v>43</v>
      </c>
      <c r="BC9" s="238"/>
      <c r="BD9" s="314">
        <v>45091</v>
      </c>
      <c r="BE9" s="233" t="s">
        <v>258</v>
      </c>
      <c r="BF9" s="243">
        <f t="shared" si="0"/>
        <v>43</v>
      </c>
      <c r="BG9" s="244" t="s">
        <v>372</v>
      </c>
      <c r="BH9" s="223"/>
    </row>
    <row r="10" spans="1:114" ht="165" x14ac:dyDescent="0.2">
      <c r="A10" s="14" t="s">
        <v>373</v>
      </c>
      <c r="B10" s="22" t="s">
        <v>374</v>
      </c>
      <c r="C10" s="23" t="s">
        <v>4</v>
      </c>
      <c r="D10" s="22" t="s">
        <v>375</v>
      </c>
      <c r="E10" s="23"/>
      <c r="F10" s="23" t="s">
        <v>376</v>
      </c>
      <c r="G10" s="22" t="s">
        <v>377</v>
      </c>
      <c r="H10" s="22" t="s">
        <v>249</v>
      </c>
      <c r="I10" s="23" t="s">
        <v>266</v>
      </c>
      <c r="J10" s="23" t="s">
        <v>43</v>
      </c>
      <c r="K10" s="23"/>
      <c r="L10" s="86">
        <v>44732</v>
      </c>
      <c r="M10" s="92">
        <v>44747</v>
      </c>
      <c r="N10" s="92">
        <v>44747</v>
      </c>
      <c r="O10" s="22" t="s">
        <v>378</v>
      </c>
      <c r="P10" s="23" t="s">
        <v>379</v>
      </c>
      <c r="Q10" s="23"/>
      <c r="R10" s="23" t="s">
        <v>301</v>
      </c>
      <c r="S10" s="25">
        <v>6930</v>
      </c>
      <c r="T10" s="92">
        <v>44748</v>
      </c>
      <c r="U10" s="92">
        <v>44753</v>
      </c>
      <c r="V10" s="92">
        <v>44748</v>
      </c>
      <c r="W10" s="92">
        <v>44757</v>
      </c>
      <c r="X10" s="93" t="s">
        <v>380</v>
      </c>
      <c r="Y10" s="92">
        <v>44865</v>
      </c>
      <c r="Z10" s="92">
        <v>44817</v>
      </c>
      <c r="AA10" s="92">
        <v>44866</v>
      </c>
      <c r="AB10" s="92">
        <v>44873</v>
      </c>
      <c r="AC10" s="22" t="s">
        <v>381</v>
      </c>
      <c r="AD10" s="92">
        <v>44872</v>
      </c>
      <c r="AE10" s="92">
        <v>44873</v>
      </c>
      <c r="AF10" s="92">
        <v>44750</v>
      </c>
      <c r="AG10" s="92" t="s">
        <v>43</v>
      </c>
      <c r="AH10" s="86" t="s">
        <v>382</v>
      </c>
      <c r="AI10" s="23" t="s">
        <v>383</v>
      </c>
      <c r="AJ10" s="92">
        <v>44873</v>
      </c>
      <c r="AK10" s="87" t="s">
        <v>384</v>
      </c>
      <c r="AL10" s="92">
        <v>44873</v>
      </c>
      <c r="AM10" s="96">
        <v>44901</v>
      </c>
      <c r="AN10" s="20" t="s">
        <v>385</v>
      </c>
      <c r="AO10" s="53">
        <v>238.79</v>
      </c>
      <c r="AP10" s="86">
        <v>44901</v>
      </c>
      <c r="AQ10" s="92">
        <v>44915</v>
      </c>
      <c r="AR10" s="93" t="s">
        <v>386</v>
      </c>
      <c r="AS10" s="86"/>
      <c r="AT10" s="86"/>
      <c r="AU10" s="23"/>
      <c r="AV10" s="86"/>
      <c r="AW10" s="86"/>
      <c r="AX10" s="86"/>
      <c r="AY10" s="86"/>
      <c r="AZ10" s="87" t="s">
        <v>321</v>
      </c>
      <c r="BA10" s="86">
        <v>45107</v>
      </c>
      <c r="BB10" s="86"/>
      <c r="BC10" s="86"/>
      <c r="BD10" s="29">
        <v>45104</v>
      </c>
      <c r="BE10" s="23" t="s">
        <v>322</v>
      </c>
      <c r="BF10" s="31">
        <f t="shared" si="0"/>
        <v>34</v>
      </c>
      <c r="BG10" s="22" t="s">
        <v>387</v>
      </c>
    </row>
    <row r="11" spans="1:114" ht="75" x14ac:dyDescent="0.2">
      <c r="A11" s="14" t="s">
        <v>388</v>
      </c>
      <c r="B11" s="43" t="s">
        <v>389</v>
      </c>
      <c r="C11" s="44" t="s">
        <v>4</v>
      </c>
      <c r="D11" s="44" t="s">
        <v>390</v>
      </c>
      <c r="E11" s="44"/>
      <c r="F11" s="44" t="s">
        <v>391</v>
      </c>
      <c r="G11" s="45" t="s">
        <v>392</v>
      </c>
      <c r="H11" s="43" t="s">
        <v>393</v>
      </c>
      <c r="I11" s="44"/>
      <c r="J11" s="44"/>
      <c r="K11" s="46">
        <v>2028</v>
      </c>
      <c r="L11" s="88">
        <v>44995</v>
      </c>
      <c r="M11" s="88">
        <v>45009</v>
      </c>
      <c r="N11" s="88">
        <v>45021</v>
      </c>
      <c r="O11" s="43" t="s">
        <v>394</v>
      </c>
      <c r="P11" s="44" t="s">
        <v>395</v>
      </c>
      <c r="Q11" s="44"/>
      <c r="R11" s="44" t="s">
        <v>53</v>
      </c>
      <c r="S11" s="47">
        <v>2028</v>
      </c>
      <c r="T11" s="95">
        <v>45029</v>
      </c>
      <c r="U11" s="88">
        <v>45022</v>
      </c>
      <c r="V11" s="88">
        <v>45029</v>
      </c>
      <c r="W11" s="95">
        <v>45033</v>
      </c>
      <c r="X11" s="95"/>
      <c r="Y11" s="95"/>
      <c r="Z11" s="95">
        <v>45034</v>
      </c>
      <c r="AA11" s="95">
        <v>45034</v>
      </c>
      <c r="AB11" s="95">
        <v>45037</v>
      </c>
      <c r="AC11" s="43" t="s">
        <v>396</v>
      </c>
      <c r="AD11" s="95">
        <v>45037</v>
      </c>
      <c r="AE11" s="95">
        <v>45040</v>
      </c>
      <c r="AF11" s="95">
        <v>45034</v>
      </c>
      <c r="AG11" s="95" t="s">
        <v>43</v>
      </c>
      <c r="AH11" s="95">
        <v>45022</v>
      </c>
      <c r="AI11" s="43" t="s">
        <v>397</v>
      </c>
      <c r="AJ11" s="95">
        <v>45040</v>
      </c>
      <c r="AK11" s="88" t="s">
        <v>398</v>
      </c>
      <c r="AL11" s="95">
        <v>45041</v>
      </c>
      <c r="AM11" s="95">
        <v>45072</v>
      </c>
      <c r="AN11" s="48" t="s">
        <v>399</v>
      </c>
      <c r="AO11" s="54">
        <v>515.51</v>
      </c>
      <c r="AP11" s="95">
        <v>45072</v>
      </c>
      <c r="AQ11" s="88" t="s">
        <v>400</v>
      </c>
      <c r="AR11" s="95"/>
      <c r="AS11" s="95"/>
      <c r="AT11" s="95"/>
      <c r="AU11" s="44"/>
      <c r="AV11" s="102">
        <v>45092</v>
      </c>
      <c r="AW11" s="315">
        <v>45107</v>
      </c>
      <c r="AX11" s="95"/>
      <c r="AY11" s="95"/>
      <c r="AZ11" s="315">
        <v>45120</v>
      </c>
      <c r="BA11" s="315">
        <v>45139</v>
      </c>
      <c r="BB11" s="95"/>
      <c r="BC11" s="95"/>
      <c r="BD11" s="316">
        <v>45134</v>
      </c>
      <c r="BE11" s="44" t="s">
        <v>401</v>
      </c>
      <c r="BF11" s="31">
        <f t="shared" si="0"/>
        <v>14.285714285714286</v>
      </c>
      <c r="BG11" s="22" t="s">
        <v>402</v>
      </c>
    </row>
    <row r="12" spans="1:114" ht="75" x14ac:dyDescent="0.2">
      <c r="A12" s="14" t="s">
        <v>403</v>
      </c>
      <c r="B12" s="27" t="s">
        <v>404</v>
      </c>
      <c r="C12" s="23" t="s">
        <v>4</v>
      </c>
      <c r="D12" s="22" t="s">
        <v>405</v>
      </c>
      <c r="E12" s="22"/>
      <c r="F12" s="22" t="s">
        <v>406</v>
      </c>
      <c r="G12" s="32" t="s">
        <v>407</v>
      </c>
      <c r="H12" s="22" t="s">
        <v>393</v>
      </c>
      <c r="I12" s="22"/>
      <c r="J12" s="22"/>
      <c r="K12" s="22"/>
      <c r="L12" s="87">
        <v>45016</v>
      </c>
      <c r="M12" s="87">
        <v>45023</v>
      </c>
      <c r="N12" s="87">
        <v>45020</v>
      </c>
      <c r="O12" s="22" t="s">
        <v>408</v>
      </c>
      <c r="P12" s="22" t="s">
        <v>379</v>
      </c>
      <c r="Q12" s="22"/>
      <c r="R12" s="22" t="s">
        <v>301</v>
      </c>
      <c r="S12" s="62">
        <v>18480</v>
      </c>
      <c r="T12" s="87">
        <v>45022</v>
      </c>
      <c r="U12" s="87">
        <v>45021</v>
      </c>
      <c r="V12" s="87">
        <v>45022</v>
      </c>
      <c r="W12" s="86">
        <v>45033</v>
      </c>
      <c r="X12" s="87">
        <v>45033</v>
      </c>
      <c r="Y12" s="87"/>
      <c r="Z12" s="87">
        <v>45035</v>
      </c>
      <c r="AA12" s="86">
        <v>45040</v>
      </c>
      <c r="AB12" s="87">
        <v>45048</v>
      </c>
      <c r="AC12" s="23"/>
      <c r="AD12" s="86">
        <v>45042</v>
      </c>
      <c r="AE12" s="86">
        <v>45043</v>
      </c>
      <c r="AF12" s="86">
        <v>45029</v>
      </c>
      <c r="AG12" s="86" t="s">
        <v>43</v>
      </c>
      <c r="AH12" s="86">
        <v>45021</v>
      </c>
      <c r="AI12" s="22" t="s">
        <v>409</v>
      </c>
      <c r="AJ12" s="86">
        <v>45043</v>
      </c>
      <c r="AK12" s="87" t="s">
        <v>410</v>
      </c>
      <c r="AL12" s="86">
        <v>45043</v>
      </c>
      <c r="AM12" s="87" t="s">
        <v>411</v>
      </c>
      <c r="AN12" s="22" t="s">
        <v>412</v>
      </c>
      <c r="AO12" s="51">
        <v>355.09</v>
      </c>
      <c r="AP12" s="86">
        <v>45078</v>
      </c>
      <c r="AQ12" s="86">
        <v>45089</v>
      </c>
      <c r="AR12" s="86"/>
      <c r="AS12" s="86"/>
      <c r="AT12" s="86"/>
      <c r="AU12" s="23"/>
      <c r="AV12" s="86">
        <v>45111</v>
      </c>
      <c r="AW12" s="99">
        <v>45124</v>
      </c>
      <c r="AX12" s="86">
        <v>45142</v>
      </c>
      <c r="AY12" s="86"/>
      <c r="AZ12" s="99">
        <v>45132</v>
      </c>
      <c r="BA12" s="99">
        <v>45153</v>
      </c>
      <c r="BB12" s="86"/>
      <c r="BC12" s="86"/>
      <c r="BD12" s="29">
        <v>45147</v>
      </c>
      <c r="BE12" s="23" t="s">
        <v>322</v>
      </c>
      <c r="BF12" s="31">
        <f t="shared" si="0"/>
        <v>15.285714285714286</v>
      </c>
      <c r="BG12" s="23" t="s">
        <v>413</v>
      </c>
    </row>
    <row r="13" spans="1:114" ht="240" x14ac:dyDescent="0.2">
      <c r="A13" s="14" t="s">
        <v>414</v>
      </c>
      <c r="B13" s="22" t="s">
        <v>415</v>
      </c>
      <c r="C13" s="23" t="s">
        <v>4</v>
      </c>
      <c r="D13" s="22" t="s">
        <v>416</v>
      </c>
      <c r="E13" s="23"/>
      <c r="F13" s="22" t="s">
        <v>417</v>
      </c>
      <c r="G13" s="39" t="s">
        <v>418</v>
      </c>
      <c r="H13" s="22" t="s">
        <v>419</v>
      </c>
      <c r="I13" s="23"/>
      <c r="J13" s="23"/>
      <c r="K13" s="25">
        <v>4620</v>
      </c>
      <c r="L13" s="87">
        <v>45013</v>
      </c>
      <c r="M13" s="87">
        <v>45022</v>
      </c>
      <c r="N13" s="87">
        <v>45022</v>
      </c>
      <c r="O13" s="77" t="s">
        <v>420</v>
      </c>
      <c r="P13" s="23" t="s">
        <v>285</v>
      </c>
      <c r="Q13" s="23"/>
      <c r="R13" s="23" t="s">
        <v>301</v>
      </c>
      <c r="S13" s="62">
        <v>4620</v>
      </c>
      <c r="T13" s="86">
        <v>45030</v>
      </c>
      <c r="U13" s="87">
        <v>45033</v>
      </c>
      <c r="V13" s="86">
        <v>45030</v>
      </c>
      <c r="W13" s="86">
        <v>45036</v>
      </c>
      <c r="X13" s="86"/>
      <c r="Y13" s="86"/>
      <c r="Z13" s="86">
        <v>45037</v>
      </c>
      <c r="AA13" s="86">
        <v>45037</v>
      </c>
      <c r="AB13" s="86">
        <v>45044</v>
      </c>
      <c r="AC13" s="23"/>
      <c r="AD13" s="86">
        <v>45042</v>
      </c>
      <c r="AE13" s="86">
        <v>45043</v>
      </c>
      <c r="AF13" s="86">
        <v>45034</v>
      </c>
      <c r="AG13" s="86" t="s">
        <v>43</v>
      </c>
      <c r="AH13" s="86">
        <v>45027</v>
      </c>
      <c r="AI13" s="22" t="s">
        <v>319</v>
      </c>
      <c r="AJ13" s="86">
        <v>45043</v>
      </c>
      <c r="AK13" s="87" t="s">
        <v>410</v>
      </c>
      <c r="AL13" s="86">
        <v>45044</v>
      </c>
      <c r="AM13" s="87" t="s">
        <v>411</v>
      </c>
      <c r="AN13" s="22" t="s">
        <v>421</v>
      </c>
      <c r="AO13" s="51">
        <v>568.9</v>
      </c>
      <c r="AP13" s="86">
        <v>45078</v>
      </c>
      <c r="AQ13" s="86">
        <v>45089</v>
      </c>
      <c r="AR13" s="86"/>
      <c r="AS13" s="86"/>
      <c r="AT13" s="87" t="s">
        <v>422</v>
      </c>
      <c r="AU13" s="23"/>
      <c r="AV13" s="86"/>
      <c r="AW13" s="86"/>
      <c r="AX13" s="87" t="s">
        <v>423</v>
      </c>
      <c r="AY13" s="87"/>
      <c r="AZ13" s="101" t="s">
        <v>321</v>
      </c>
      <c r="BA13" s="99">
        <v>45128</v>
      </c>
      <c r="BB13" s="99">
        <v>45219</v>
      </c>
      <c r="BC13" s="99"/>
      <c r="BD13" s="29">
        <v>45177</v>
      </c>
      <c r="BE13" s="23" t="s">
        <v>322</v>
      </c>
      <c r="BF13" s="31">
        <f t="shared" si="0"/>
        <v>20</v>
      </c>
      <c r="BG13" s="23" t="s">
        <v>424</v>
      </c>
    </row>
    <row r="14" spans="1:114" ht="105" x14ac:dyDescent="0.15">
      <c r="A14" s="14" t="s">
        <v>425</v>
      </c>
      <c r="B14" s="27" t="s">
        <v>426</v>
      </c>
      <c r="C14" s="27" t="s">
        <v>4</v>
      </c>
      <c r="D14" s="22" t="s">
        <v>427</v>
      </c>
      <c r="E14" s="22"/>
      <c r="F14" s="22" t="s">
        <v>428</v>
      </c>
      <c r="G14" s="32" t="s">
        <v>429</v>
      </c>
      <c r="H14" s="22" t="s">
        <v>393</v>
      </c>
      <c r="I14" s="23"/>
      <c r="J14" s="23"/>
      <c r="K14" s="82"/>
      <c r="L14" s="87">
        <v>45121</v>
      </c>
      <c r="M14" s="92">
        <v>45135</v>
      </c>
      <c r="N14" s="92">
        <v>45135</v>
      </c>
      <c r="O14" s="22" t="s">
        <v>430</v>
      </c>
      <c r="P14" s="23" t="s">
        <v>395</v>
      </c>
      <c r="Q14" s="23"/>
      <c r="R14" s="23" t="s">
        <v>53</v>
      </c>
      <c r="S14" s="38">
        <v>112559</v>
      </c>
      <c r="T14" s="86">
        <v>45139</v>
      </c>
      <c r="U14" s="87" t="s">
        <v>431</v>
      </c>
      <c r="V14" s="86">
        <v>45139</v>
      </c>
      <c r="W14" s="86">
        <v>45139</v>
      </c>
      <c r="X14" s="87" t="s">
        <v>432</v>
      </c>
      <c r="Y14" s="86" t="s">
        <v>43</v>
      </c>
      <c r="Z14" s="86">
        <v>45141</v>
      </c>
      <c r="AA14" s="86">
        <v>45145</v>
      </c>
      <c r="AB14" s="86">
        <v>45146</v>
      </c>
      <c r="AC14" s="23" t="s">
        <v>266</v>
      </c>
      <c r="AD14" s="86">
        <v>45146</v>
      </c>
      <c r="AE14" s="86">
        <v>45146</v>
      </c>
      <c r="AF14" s="86">
        <v>45142</v>
      </c>
      <c r="AG14" s="86" t="s">
        <v>43</v>
      </c>
      <c r="AH14" s="86">
        <v>45138</v>
      </c>
      <c r="AI14" s="22" t="s">
        <v>433</v>
      </c>
      <c r="AJ14" s="86">
        <v>45146</v>
      </c>
      <c r="AK14" s="87" t="s">
        <v>434</v>
      </c>
      <c r="AL14" s="86">
        <v>45147</v>
      </c>
      <c r="AM14" s="87" t="s">
        <v>435</v>
      </c>
      <c r="AN14" s="22" t="s">
        <v>436</v>
      </c>
      <c r="AO14" s="83">
        <v>568.9</v>
      </c>
      <c r="AP14" s="87" t="s">
        <v>437</v>
      </c>
      <c r="AQ14" s="86" t="s">
        <v>438</v>
      </c>
      <c r="AR14" s="86"/>
      <c r="AS14" s="86"/>
      <c r="AT14" s="86"/>
      <c r="AU14" s="23"/>
      <c r="AV14" s="99">
        <v>45201</v>
      </c>
      <c r="AW14" s="86"/>
      <c r="AX14" s="86"/>
      <c r="AY14" s="86"/>
      <c r="AZ14" s="99">
        <v>45216</v>
      </c>
      <c r="BA14" s="99">
        <v>45236</v>
      </c>
      <c r="BB14" s="86"/>
      <c r="BC14" s="86"/>
      <c r="BD14" s="29">
        <v>45230</v>
      </c>
      <c r="BE14" s="23" t="s">
        <v>258</v>
      </c>
      <c r="BF14" s="31">
        <f t="shared" si="0"/>
        <v>12.142857142857142</v>
      </c>
      <c r="BG14" s="23" t="s">
        <v>439</v>
      </c>
    </row>
    <row r="15" spans="1:114" ht="120" x14ac:dyDescent="0.2">
      <c r="A15" s="14" t="s">
        <v>440</v>
      </c>
      <c r="B15" s="27" t="s">
        <v>441</v>
      </c>
      <c r="C15" s="23" t="s">
        <v>4</v>
      </c>
      <c r="D15" s="22" t="s">
        <v>442</v>
      </c>
      <c r="E15" s="22"/>
      <c r="F15" s="22" t="s">
        <v>406</v>
      </c>
      <c r="G15" s="32" t="s">
        <v>407</v>
      </c>
      <c r="H15" s="22" t="s">
        <v>393</v>
      </c>
      <c r="I15" s="23"/>
      <c r="J15" s="23"/>
      <c r="K15" s="25">
        <v>29207</v>
      </c>
      <c r="L15" s="87">
        <v>45072</v>
      </c>
      <c r="M15" s="87">
        <v>45086</v>
      </c>
      <c r="N15" s="87">
        <v>45096</v>
      </c>
      <c r="O15" s="22" t="s">
        <v>443</v>
      </c>
      <c r="P15" s="23" t="s">
        <v>285</v>
      </c>
      <c r="Q15" s="23"/>
      <c r="R15" s="22" t="s">
        <v>301</v>
      </c>
      <c r="S15" s="35">
        <v>29207</v>
      </c>
      <c r="T15" s="87">
        <v>45099</v>
      </c>
      <c r="U15" s="87"/>
      <c r="V15" s="87">
        <v>45099</v>
      </c>
      <c r="W15" s="87">
        <v>45103</v>
      </c>
      <c r="X15" s="87">
        <v>45106</v>
      </c>
      <c r="Y15" s="87"/>
      <c r="Z15" s="87">
        <v>45111</v>
      </c>
      <c r="AA15" s="87">
        <v>45140</v>
      </c>
      <c r="AB15" s="87">
        <v>45147</v>
      </c>
      <c r="AC15" s="22"/>
      <c r="AD15" s="87">
        <v>45140</v>
      </c>
      <c r="AE15" s="87">
        <v>45141</v>
      </c>
      <c r="AF15" s="87">
        <v>45103</v>
      </c>
      <c r="AG15" s="87" t="s">
        <v>43</v>
      </c>
      <c r="AH15" s="86">
        <v>45098</v>
      </c>
      <c r="AI15" s="22" t="s">
        <v>444</v>
      </c>
      <c r="AJ15" s="87">
        <v>45141</v>
      </c>
      <c r="AK15" s="87">
        <v>45176</v>
      </c>
      <c r="AL15" s="87">
        <v>45142</v>
      </c>
      <c r="AM15" s="87">
        <v>45176</v>
      </c>
      <c r="AN15" s="22" t="s">
        <v>445</v>
      </c>
      <c r="AO15" s="51">
        <v>387.6</v>
      </c>
      <c r="AP15" s="87">
        <v>45176</v>
      </c>
      <c r="AQ15" s="87"/>
      <c r="AR15" s="87"/>
      <c r="AS15" s="87"/>
      <c r="AT15" s="87"/>
      <c r="AU15" s="22" t="s">
        <v>446</v>
      </c>
      <c r="AV15" s="87"/>
      <c r="AW15" s="99">
        <v>45198</v>
      </c>
      <c r="AX15" s="87"/>
      <c r="AY15" s="87"/>
      <c r="AZ15" s="101" t="s">
        <v>447</v>
      </c>
      <c r="BA15" s="99">
        <v>45275</v>
      </c>
      <c r="BB15" s="87"/>
      <c r="BC15" s="87"/>
      <c r="BD15" s="29">
        <v>45275</v>
      </c>
      <c r="BE15" s="22" t="s">
        <v>322</v>
      </c>
      <c r="BF15" s="31">
        <f t="shared" si="0"/>
        <v>19.285714285714285</v>
      </c>
      <c r="BG15" s="22" t="s">
        <v>448</v>
      </c>
    </row>
    <row r="16" spans="1:114" ht="45" x14ac:dyDescent="0.2">
      <c r="A16" s="14" t="s">
        <v>449</v>
      </c>
      <c r="B16" s="27" t="s">
        <v>450</v>
      </c>
      <c r="C16" s="23" t="s">
        <v>4</v>
      </c>
      <c r="D16" s="23" t="s">
        <v>451</v>
      </c>
      <c r="E16" s="27"/>
      <c r="F16" s="27" t="s">
        <v>452</v>
      </c>
      <c r="G16" s="32" t="s">
        <v>453</v>
      </c>
      <c r="H16" s="22" t="s">
        <v>393</v>
      </c>
      <c r="I16" s="22" t="s">
        <v>454</v>
      </c>
      <c r="J16" s="23"/>
      <c r="K16" s="23"/>
      <c r="L16" s="87">
        <v>45118</v>
      </c>
      <c r="M16" s="92">
        <v>45132</v>
      </c>
      <c r="N16" s="92">
        <v>45254</v>
      </c>
      <c r="O16" s="22" t="s">
        <v>455</v>
      </c>
      <c r="P16" s="23"/>
      <c r="Q16" s="23"/>
      <c r="R16" s="23" t="s">
        <v>301</v>
      </c>
      <c r="S16" s="38">
        <v>16224</v>
      </c>
      <c r="T16" s="87">
        <v>45266</v>
      </c>
      <c r="U16" s="86"/>
      <c r="V16" s="87">
        <v>45266</v>
      </c>
      <c r="W16" s="86"/>
      <c r="X16" s="86"/>
      <c r="Y16" s="87">
        <v>45287</v>
      </c>
      <c r="Z16" s="86"/>
      <c r="AA16" s="86"/>
      <c r="AB16" s="86"/>
      <c r="AC16" s="23" t="s">
        <v>266</v>
      </c>
      <c r="AD16" s="86"/>
      <c r="AE16" s="86"/>
      <c r="AF16" s="86"/>
      <c r="AG16" s="86"/>
      <c r="AH16" s="86"/>
      <c r="AI16" s="22" t="s">
        <v>456</v>
      </c>
      <c r="AJ16" s="86"/>
      <c r="AK16" s="86"/>
      <c r="AL16" s="86"/>
      <c r="AM16" s="86"/>
      <c r="AN16" s="22" t="s">
        <v>457</v>
      </c>
      <c r="AO16" s="83"/>
      <c r="AP16" s="86"/>
      <c r="AQ16" s="86"/>
      <c r="AR16" s="86"/>
      <c r="AS16" s="86"/>
      <c r="AT16" s="86"/>
      <c r="AU16" s="23"/>
      <c r="AV16" s="86"/>
      <c r="AW16" s="86"/>
      <c r="AX16" s="86"/>
      <c r="AY16" s="86"/>
      <c r="AZ16" s="86"/>
      <c r="BA16" s="86"/>
      <c r="BB16" s="86"/>
      <c r="BC16" s="86"/>
      <c r="BD16" s="23"/>
      <c r="BE16" s="23"/>
      <c r="BF16" s="31"/>
      <c r="BG16" s="23" t="s">
        <v>458</v>
      </c>
    </row>
    <row r="17" spans="1:59" ht="323" x14ac:dyDescent="0.2">
      <c r="A17" s="14" t="s">
        <v>459</v>
      </c>
      <c r="B17" s="22" t="s">
        <v>460</v>
      </c>
      <c r="C17" s="23" t="s">
        <v>4</v>
      </c>
      <c r="D17" s="103" t="s">
        <v>461</v>
      </c>
      <c r="E17" s="21"/>
      <c r="F17" s="22" t="s">
        <v>462</v>
      </c>
      <c r="G17" s="32" t="s">
        <v>463</v>
      </c>
      <c r="H17" s="22" t="s">
        <v>464</v>
      </c>
      <c r="I17" s="23"/>
      <c r="J17" s="23"/>
      <c r="K17" s="23"/>
      <c r="L17" s="87">
        <v>45205</v>
      </c>
      <c r="M17" s="87">
        <v>45212</v>
      </c>
      <c r="N17" s="87">
        <v>45212</v>
      </c>
      <c r="O17" s="20" t="s">
        <v>465</v>
      </c>
      <c r="P17" s="23" t="s">
        <v>395</v>
      </c>
      <c r="Q17" s="23"/>
      <c r="R17" s="23" t="s">
        <v>53</v>
      </c>
      <c r="S17" s="25">
        <v>10626</v>
      </c>
      <c r="T17" s="87">
        <v>45216</v>
      </c>
      <c r="U17" s="87">
        <v>45215</v>
      </c>
      <c r="V17" s="87">
        <v>45216</v>
      </c>
      <c r="W17" s="87">
        <v>45223</v>
      </c>
      <c r="X17" s="87">
        <v>45223</v>
      </c>
      <c r="Y17" s="87">
        <v>45244</v>
      </c>
      <c r="Z17" s="87">
        <v>45258</v>
      </c>
      <c r="AA17" s="87">
        <v>45258</v>
      </c>
      <c r="AB17" s="87">
        <v>45265</v>
      </c>
      <c r="AC17" s="23"/>
      <c r="AD17" s="87">
        <v>45259</v>
      </c>
      <c r="AE17" s="87">
        <v>45260</v>
      </c>
      <c r="AF17" s="87">
        <v>45218</v>
      </c>
      <c r="AG17" s="87" t="s">
        <v>43</v>
      </c>
      <c r="AH17" s="87">
        <v>45215</v>
      </c>
      <c r="AI17" s="22" t="s">
        <v>466</v>
      </c>
      <c r="AJ17" s="87">
        <v>45260</v>
      </c>
      <c r="AK17" s="87" t="s">
        <v>467</v>
      </c>
      <c r="AL17" s="87">
        <v>45261</v>
      </c>
      <c r="AM17" s="87">
        <v>45299</v>
      </c>
      <c r="AN17" s="22" t="s">
        <v>468</v>
      </c>
      <c r="AO17" s="83">
        <v>568.9</v>
      </c>
      <c r="AP17" s="87">
        <v>45299</v>
      </c>
      <c r="AQ17" s="87">
        <v>45306</v>
      </c>
      <c r="AR17" s="86"/>
      <c r="AS17" s="86"/>
      <c r="AT17" s="86"/>
      <c r="AU17" s="23"/>
      <c r="AV17" s="86">
        <v>45309</v>
      </c>
      <c r="AW17" s="86" t="s">
        <v>469</v>
      </c>
      <c r="AX17" s="86"/>
      <c r="AY17" s="86"/>
      <c r="AZ17" s="101">
        <v>45328</v>
      </c>
      <c r="BA17" s="99">
        <v>45349</v>
      </c>
      <c r="BB17" s="86"/>
      <c r="BC17" s="86"/>
      <c r="BD17" s="107">
        <v>45348</v>
      </c>
      <c r="BE17" s="23" t="s">
        <v>258</v>
      </c>
      <c r="BF17" s="31">
        <f>(BD17-AA17)/7</f>
        <v>12.857142857142858</v>
      </c>
      <c r="BG17" s="22" t="s">
        <v>470</v>
      </c>
    </row>
    <row r="18" spans="1:59" ht="119" x14ac:dyDescent="0.2">
      <c r="A18" s="14" t="s">
        <v>471</v>
      </c>
      <c r="B18" s="22" t="s">
        <v>472</v>
      </c>
      <c r="C18" s="23" t="s">
        <v>4</v>
      </c>
      <c r="D18" s="103" t="s">
        <v>473</v>
      </c>
      <c r="E18" s="21"/>
      <c r="F18" s="23" t="s">
        <v>474</v>
      </c>
      <c r="G18" s="39" t="s">
        <v>475</v>
      </c>
      <c r="H18" s="22" t="s">
        <v>464</v>
      </c>
      <c r="I18" s="23"/>
      <c r="J18" s="23"/>
      <c r="K18" s="23"/>
      <c r="L18" s="87">
        <v>45201</v>
      </c>
      <c r="M18" s="87">
        <v>45210</v>
      </c>
      <c r="N18" s="87">
        <v>45211</v>
      </c>
      <c r="O18" s="22" t="s">
        <v>476</v>
      </c>
      <c r="P18" s="23" t="s">
        <v>81</v>
      </c>
      <c r="Q18" s="23"/>
      <c r="R18" s="23" t="s">
        <v>301</v>
      </c>
      <c r="S18" s="25">
        <v>6468</v>
      </c>
      <c r="T18" s="87">
        <v>45215</v>
      </c>
      <c r="U18" s="87">
        <v>45215</v>
      </c>
      <c r="V18" s="87">
        <v>45215</v>
      </c>
      <c r="W18" s="87">
        <v>45223</v>
      </c>
      <c r="X18" s="87">
        <v>45223</v>
      </c>
      <c r="Y18" s="87">
        <v>45244</v>
      </c>
      <c r="Z18" s="87">
        <v>45224</v>
      </c>
      <c r="AA18" s="87">
        <v>45237</v>
      </c>
      <c r="AB18" s="87">
        <v>45244</v>
      </c>
      <c r="AC18" s="104"/>
      <c r="AD18" s="87">
        <v>45239</v>
      </c>
      <c r="AE18" s="87">
        <v>45239</v>
      </c>
      <c r="AF18" s="87">
        <v>45216</v>
      </c>
      <c r="AG18" s="87" t="s">
        <v>43</v>
      </c>
      <c r="AH18" s="87">
        <v>45215</v>
      </c>
      <c r="AI18" s="104" t="s">
        <v>477</v>
      </c>
      <c r="AJ18" s="87">
        <v>45239</v>
      </c>
      <c r="AK18" s="87">
        <v>45275</v>
      </c>
      <c r="AL18" s="87">
        <v>45240</v>
      </c>
      <c r="AM18" s="87">
        <v>45275</v>
      </c>
      <c r="AN18" s="22" t="s">
        <v>478</v>
      </c>
      <c r="AO18" s="105">
        <v>217.93</v>
      </c>
      <c r="AP18" s="87">
        <v>45275</v>
      </c>
      <c r="AQ18" s="87">
        <v>45281</v>
      </c>
      <c r="AR18" s="87">
        <v>45280</v>
      </c>
      <c r="AS18" s="87"/>
      <c r="AT18" s="87"/>
      <c r="AU18" s="104"/>
      <c r="AV18" s="86">
        <v>45302</v>
      </c>
      <c r="AW18" s="86">
        <v>45316</v>
      </c>
      <c r="AX18" s="86">
        <v>45322</v>
      </c>
      <c r="AY18" s="86"/>
      <c r="AZ18" s="101">
        <v>45323</v>
      </c>
      <c r="BA18" s="99">
        <v>45352</v>
      </c>
      <c r="BB18" s="86"/>
      <c r="BC18" s="86"/>
      <c r="BD18" s="107">
        <v>45351</v>
      </c>
      <c r="BE18" s="23" t="s">
        <v>322</v>
      </c>
      <c r="BF18" s="31">
        <f t="shared" ref="BF18:BF23" si="1">(BD18-AA18)/7</f>
        <v>16.285714285714285</v>
      </c>
      <c r="BG18" s="22" t="s">
        <v>479</v>
      </c>
    </row>
    <row r="19" spans="1:59" ht="60" x14ac:dyDescent="0.2">
      <c r="A19" s="14" t="s">
        <v>480</v>
      </c>
      <c r="B19" s="27" t="s">
        <v>481</v>
      </c>
      <c r="C19" s="23" t="s">
        <v>4</v>
      </c>
      <c r="D19" s="22" t="s">
        <v>482</v>
      </c>
      <c r="E19" s="27"/>
      <c r="F19" s="27" t="s">
        <v>483</v>
      </c>
      <c r="G19" s="32" t="s">
        <v>484</v>
      </c>
      <c r="H19" s="22" t="s">
        <v>393</v>
      </c>
      <c r="I19" s="23"/>
      <c r="J19" s="23"/>
      <c r="K19" s="23"/>
      <c r="L19" s="87">
        <v>45146</v>
      </c>
      <c r="M19" s="92">
        <v>45160</v>
      </c>
      <c r="N19" s="92">
        <v>45160</v>
      </c>
      <c r="O19" s="22" t="s">
        <v>485</v>
      </c>
      <c r="P19" s="23" t="s">
        <v>486</v>
      </c>
      <c r="Q19" s="23"/>
      <c r="R19" s="23" t="s">
        <v>53</v>
      </c>
      <c r="S19" s="25">
        <v>2310</v>
      </c>
      <c r="T19" s="87" t="s">
        <v>487</v>
      </c>
      <c r="U19" s="92">
        <v>45162</v>
      </c>
      <c r="V19" s="87" t="s">
        <v>488</v>
      </c>
      <c r="W19" s="86">
        <v>45201</v>
      </c>
      <c r="X19" s="87" t="s">
        <v>489</v>
      </c>
      <c r="Y19" s="87" t="s">
        <v>490</v>
      </c>
      <c r="Z19" s="86">
        <v>45203</v>
      </c>
      <c r="AA19" s="86">
        <v>45212</v>
      </c>
      <c r="AB19" s="86">
        <v>45219</v>
      </c>
      <c r="AC19" s="23" t="s">
        <v>266</v>
      </c>
      <c r="AD19" s="86">
        <v>45216</v>
      </c>
      <c r="AE19" s="86">
        <v>45217</v>
      </c>
      <c r="AF19" s="86">
        <v>45209</v>
      </c>
      <c r="AG19" s="86" t="s">
        <v>43</v>
      </c>
      <c r="AH19" s="86">
        <v>45162</v>
      </c>
      <c r="AI19" s="22" t="s">
        <v>491</v>
      </c>
      <c r="AJ19" s="86">
        <v>45218</v>
      </c>
      <c r="AK19" s="87" t="s">
        <v>492</v>
      </c>
      <c r="AL19" s="86">
        <v>45218</v>
      </c>
      <c r="AM19" s="86">
        <v>45250</v>
      </c>
      <c r="AN19" s="106" t="s">
        <v>493</v>
      </c>
      <c r="AO19" s="83">
        <v>515.51</v>
      </c>
      <c r="AP19" s="86">
        <v>45250</v>
      </c>
      <c r="AQ19" s="86">
        <v>45257</v>
      </c>
      <c r="AR19" s="86"/>
      <c r="AS19" s="86"/>
      <c r="AT19" s="86"/>
      <c r="AU19" s="23"/>
      <c r="AV19" s="86">
        <v>45316</v>
      </c>
      <c r="AW19" s="86">
        <v>45334</v>
      </c>
      <c r="AX19" s="86"/>
      <c r="AY19" s="86"/>
      <c r="AZ19" s="101">
        <v>45342</v>
      </c>
      <c r="BA19" s="99">
        <v>45370</v>
      </c>
      <c r="BB19" s="99">
        <v>45394</v>
      </c>
      <c r="BC19" s="99"/>
      <c r="BD19" s="107">
        <v>45355</v>
      </c>
      <c r="BE19" s="23" t="s">
        <v>322</v>
      </c>
      <c r="BF19" s="31">
        <f t="shared" si="1"/>
        <v>20.428571428571427</v>
      </c>
      <c r="BG19" s="23" t="s">
        <v>494</v>
      </c>
    </row>
    <row r="20" spans="1:59" ht="90" x14ac:dyDescent="0.2">
      <c r="A20" s="14" t="s">
        <v>495</v>
      </c>
      <c r="B20" s="27" t="s">
        <v>496</v>
      </c>
      <c r="C20" s="23" t="s">
        <v>4</v>
      </c>
      <c r="D20" s="22" t="s">
        <v>497</v>
      </c>
      <c r="E20" s="23"/>
      <c r="F20" s="22" t="s">
        <v>498</v>
      </c>
      <c r="G20" s="32" t="s">
        <v>499</v>
      </c>
      <c r="H20" s="33" t="s">
        <v>500</v>
      </c>
      <c r="I20" s="23"/>
      <c r="J20" s="23"/>
      <c r="K20" s="23"/>
      <c r="L20" s="87">
        <v>45217</v>
      </c>
      <c r="M20" s="92">
        <v>45219</v>
      </c>
      <c r="N20" s="92">
        <v>45236</v>
      </c>
      <c r="O20" s="22" t="s">
        <v>501</v>
      </c>
      <c r="P20" s="23" t="s">
        <v>379</v>
      </c>
      <c r="Q20" s="23"/>
      <c r="R20" s="23" t="s">
        <v>53</v>
      </c>
      <c r="S20" s="38">
        <v>11550</v>
      </c>
      <c r="T20" s="87">
        <v>45238</v>
      </c>
      <c r="U20" s="87">
        <v>45237</v>
      </c>
      <c r="V20" s="87">
        <v>45238</v>
      </c>
      <c r="W20" s="87">
        <v>45243</v>
      </c>
      <c r="X20" s="87">
        <v>45238</v>
      </c>
      <c r="Y20" s="87">
        <v>45259</v>
      </c>
      <c r="Z20" s="87">
        <v>45247</v>
      </c>
      <c r="AA20" s="87">
        <v>45265</v>
      </c>
      <c r="AB20" s="87">
        <v>45272</v>
      </c>
      <c r="AC20" s="23" t="s">
        <v>266</v>
      </c>
      <c r="AD20" s="87">
        <v>45267</v>
      </c>
      <c r="AE20" s="87">
        <v>45267</v>
      </c>
      <c r="AF20" s="87">
        <v>45240</v>
      </c>
      <c r="AG20" s="87" t="s">
        <v>43</v>
      </c>
      <c r="AH20" s="87">
        <v>45236</v>
      </c>
      <c r="AI20" s="22" t="s">
        <v>502</v>
      </c>
      <c r="AJ20" s="87">
        <v>45268</v>
      </c>
      <c r="AK20" s="87">
        <v>45303</v>
      </c>
      <c r="AL20" s="87">
        <v>45271</v>
      </c>
      <c r="AM20" s="87">
        <v>45303</v>
      </c>
      <c r="AN20" s="22" t="s">
        <v>503</v>
      </c>
      <c r="AO20" s="83">
        <v>322.58</v>
      </c>
      <c r="AP20" s="87">
        <v>45303</v>
      </c>
      <c r="AQ20" s="86"/>
      <c r="AR20" s="86"/>
      <c r="AS20" s="86"/>
      <c r="AT20" s="86"/>
      <c r="AU20" s="23"/>
      <c r="AV20" s="86"/>
      <c r="AW20" s="86"/>
      <c r="AX20" s="86"/>
      <c r="AY20" s="86"/>
      <c r="AZ20" s="87" t="s">
        <v>504</v>
      </c>
      <c r="BA20" s="99">
        <v>45356</v>
      </c>
      <c r="BB20" s="86"/>
      <c r="BC20" s="86"/>
      <c r="BD20" s="107">
        <v>45356</v>
      </c>
      <c r="BE20" s="23" t="s">
        <v>322</v>
      </c>
      <c r="BF20" s="31">
        <f t="shared" si="1"/>
        <v>13</v>
      </c>
      <c r="BG20" s="23" t="s">
        <v>505</v>
      </c>
    </row>
    <row r="21" spans="1:59" ht="105" x14ac:dyDescent="0.2">
      <c r="A21" s="14" t="s">
        <v>506</v>
      </c>
      <c r="B21" s="108" t="s">
        <v>507</v>
      </c>
      <c r="C21" s="109" t="s">
        <v>4</v>
      </c>
      <c r="D21" s="110" t="s">
        <v>508</v>
      </c>
      <c r="E21" s="108"/>
      <c r="F21" s="40" t="s">
        <v>509</v>
      </c>
      <c r="G21" s="111" t="s">
        <v>510</v>
      </c>
      <c r="H21" s="40" t="s">
        <v>393</v>
      </c>
      <c r="I21" s="109"/>
      <c r="J21" s="109"/>
      <c r="K21" s="109"/>
      <c r="L21" s="112">
        <v>45189</v>
      </c>
      <c r="M21" s="113">
        <v>45202</v>
      </c>
      <c r="N21" s="113">
        <v>45216</v>
      </c>
      <c r="O21" s="40" t="s">
        <v>511</v>
      </c>
      <c r="P21" s="109" t="s">
        <v>153</v>
      </c>
      <c r="Q21" s="109"/>
      <c r="R21" s="109" t="s">
        <v>301</v>
      </c>
      <c r="S21" s="114" t="s">
        <v>43</v>
      </c>
      <c r="T21" s="87">
        <v>45223</v>
      </c>
      <c r="U21" s="87" t="s">
        <v>43</v>
      </c>
      <c r="V21" s="87">
        <v>45223</v>
      </c>
      <c r="W21" s="87" t="s">
        <v>43</v>
      </c>
      <c r="X21" s="87">
        <v>45224</v>
      </c>
      <c r="Y21" s="87">
        <v>45245</v>
      </c>
      <c r="Z21" s="115" t="s">
        <v>43</v>
      </c>
      <c r="AA21" s="87">
        <v>45230</v>
      </c>
      <c r="AB21" s="87">
        <v>45237</v>
      </c>
      <c r="AC21" s="104"/>
      <c r="AD21" s="87">
        <v>45233</v>
      </c>
      <c r="AE21" s="87">
        <v>45233</v>
      </c>
      <c r="AF21" s="87">
        <v>45226</v>
      </c>
      <c r="AG21" s="87" t="s">
        <v>43</v>
      </c>
      <c r="AH21" s="87">
        <v>45223</v>
      </c>
      <c r="AI21" s="104" t="s">
        <v>512</v>
      </c>
      <c r="AJ21" s="87">
        <v>45233</v>
      </c>
      <c r="AK21" s="87" t="s">
        <v>513</v>
      </c>
      <c r="AL21" s="87">
        <v>45236</v>
      </c>
      <c r="AM21" s="87">
        <v>45268</v>
      </c>
      <c r="AN21" s="22" t="s">
        <v>514</v>
      </c>
      <c r="AO21" s="105">
        <v>322.58</v>
      </c>
      <c r="AP21" s="87">
        <v>45268</v>
      </c>
      <c r="AQ21" s="87"/>
      <c r="AR21" s="87"/>
      <c r="AS21" s="115"/>
      <c r="AT21" s="115"/>
      <c r="AU21" s="109"/>
      <c r="AV21" s="115">
        <v>45317</v>
      </c>
      <c r="AW21" s="115" t="s">
        <v>515</v>
      </c>
      <c r="AX21" s="115"/>
      <c r="AY21" s="115"/>
      <c r="AZ21" s="101">
        <v>45335</v>
      </c>
      <c r="BA21" s="99">
        <v>45379</v>
      </c>
      <c r="BB21" s="115"/>
      <c r="BC21" s="115"/>
      <c r="BD21" s="116">
        <v>45364</v>
      </c>
      <c r="BE21" s="109" t="s">
        <v>258</v>
      </c>
      <c r="BF21" s="109">
        <f t="shared" si="1"/>
        <v>19.142857142857142</v>
      </c>
      <c r="BG21" s="109" t="s">
        <v>516</v>
      </c>
    </row>
    <row r="22" spans="1:59" ht="150" x14ac:dyDescent="0.2">
      <c r="A22" s="14" t="s">
        <v>517</v>
      </c>
      <c r="B22" s="27" t="s">
        <v>518</v>
      </c>
      <c r="C22" s="23" t="s">
        <v>4</v>
      </c>
      <c r="D22" s="22" t="s">
        <v>519</v>
      </c>
      <c r="E22" s="23"/>
      <c r="F22" s="22" t="s">
        <v>520</v>
      </c>
      <c r="G22" s="32" t="s">
        <v>521</v>
      </c>
      <c r="H22" s="33" t="s">
        <v>522</v>
      </c>
      <c r="I22" s="23"/>
      <c r="J22" s="23"/>
      <c r="K22" s="37">
        <v>38039</v>
      </c>
      <c r="L22" s="87">
        <v>45111</v>
      </c>
      <c r="M22" s="92">
        <v>45121</v>
      </c>
      <c r="N22" s="92">
        <v>45125</v>
      </c>
      <c r="O22" s="22" t="s">
        <v>523</v>
      </c>
      <c r="P22" s="22" t="s">
        <v>524</v>
      </c>
      <c r="Q22" s="22"/>
      <c r="R22" s="23" t="s">
        <v>301</v>
      </c>
      <c r="S22" s="35">
        <v>38039</v>
      </c>
      <c r="T22" s="86">
        <v>45126</v>
      </c>
      <c r="U22" s="92">
        <v>45125</v>
      </c>
      <c r="V22" s="86">
        <v>45126</v>
      </c>
      <c r="W22" s="87">
        <v>45128</v>
      </c>
      <c r="X22" s="86">
        <v>45139</v>
      </c>
      <c r="Y22" s="86">
        <v>45143</v>
      </c>
      <c r="Z22" s="86">
        <v>45138</v>
      </c>
      <c r="AA22" s="86">
        <v>45149</v>
      </c>
      <c r="AB22" s="86">
        <v>45156</v>
      </c>
      <c r="AC22" s="23" t="s">
        <v>525</v>
      </c>
      <c r="AD22" s="86">
        <v>45153</v>
      </c>
      <c r="AE22" s="86">
        <v>45153</v>
      </c>
      <c r="AF22" s="86">
        <v>45128</v>
      </c>
      <c r="AG22" s="86" t="s">
        <v>43</v>
      </c>
      <c r="AH22" s="86">
        <v>45125</v>
      </c>
      <c r="AI22" s="22" t="s">
        <v>526</v>
      </c>
      <c r="AJ22" s="86">
        <v>45153</v>
      </c>
      <c r="AK22" s="86">
        <v>45184</v>
      </c>
      <c r="AL22" s="86">
        <v>45154</v>
      </c>
      <c r="AM22" s="87">
        <v>45184</v>
      </c>
      <c r="AN22" s="22" t="s">
        <v>527</v>
      </c>
      <c r="AO22" s="51">
        <v>355.09</v>
      </c>
      <c r="AP22" s="86">
        <v>45184</v>
      </c>
      <c r="AQ22" s="86">
        <v>45191</v>
      </c>
      <c r="AR22" s="86">
        <v>45190</v>
      </c>
      <c r="AS22" s="86"/>
      <c r="AT22" s="86"/>
      <c r="AU22" s="22" t="s">
        <v>528</v>
      </c>
      <c r="AV22" s="87" t="s">
        <v>529</v>
      </c>
      <c r="AW22" s="86" t="s">
        <v>530</v>
      </c>
      <c r="AX22" s="86"/>
      <c r="AY22" s="86"/>
      <c r="AZ22" s="99">
        <v>45344</v>
      </c>
      <c r="BA22" s="99">
        <v>45382</v>
      </c>
      <c r="BB22" s="86"/>
      <c r="BC22" s="86"/>
      <c r="BD22" s="107">
        <v>45378</v>
      </c>
      <c r="BE22" s="23" t="s">
        <v>258</v>
      </c>
      <c r="BF22" s="109">
        <f t="shared" si="1"/>
        <v>32.714285714285715</v>
      </c>
      <c r="BG22" s="109" t="s">
        <v>531</v>
      </c>
    </row>
    <row r="23" spans="1:59" ht="45" x14ac:dyDescent="0.2">
      <c r="A23" s="14" t="s">
        <v>532</v>
      </c>
      <c r="B23" s="27" t="s">
        <v>533</v>
      </c>
      <c r="C23" s="23" t="s">
        <v>4</v>
      </c>
      <c r="D23" s="22" t="s">
        <v>534</v>
      </c>
      <c r="E23" s="27"/>
      <c r="F23" s="27" t="s">
        <v>343</v>
      </c>
      <c r="G23" s="32" t="s">
        <v>535</v>
      </c>
      <c r="H23" s="33" t="s">
        <v>363</v>
      </c>
      <c r="I23" s="22" t="s">
        <v>454</v>
      </c>
      <c r="J23" s="23"/>
      <c r="K23" s="25">
        <v>13916</v>
      </c>
      <c r="L23" s="87" t="s">
        <v>43</v>
      </c>
      <c r="M23" s="92" t="s">
        <v>43</v>
      </c>
      <c r="N23" s="92">
        <v>45265</v>
      </c>
      <c r="O23" s="22" t="s">
        <v>536</v>
      </c>
      <c r="P23" s="23" t="s">
        <v>318</v>
      </c>
      <c r="Q23" s="23"/>
      <c r="R23" s="23" t="s">
        <v>301</v>
      </c>
      <c r="S23" s="38">
        <v>13916</v>
      </c>
      <c r="T23" s="87">
        <v>45268</v>
      </c>
      <c r="U23" s="87">
        <v>45268</v>
      </c>
      <c r="V23" s="87">
        <v>45268</v>
      </c>
      <c r="W23" s="87">
        <v>45280</v>
      </c>
      <c r="X23" s="86"/>
      <c r="Y23" s="86"/>
      <c r="Z23" s="87">
        <v>45281</v>
      </c>
      <c r="AA23" s="87">
        <v>45281</v>
      </c>
      <c r="AB23" s="87">
        <v>45293</v>
      </c>
      <c r="AC23" s="23"/>
      <c r="AD23" s="87">
        <v>45293</v>
      </c>
      <c r="AE23" s="86">
        <v>45293</v>
      </c>
      <c r="AF23" s="87">
        <v>45274</v>
      </c>
      <c r="AG23" s="87" t="s">
        <v>43</v>
      </c>
      <c r="AH23" s="87" t="s">
        <v>456</v>
      </c>
      <c r="AI23" s="22" t="s">
        <v>537</v>
      </c>
      <c r="AJ23" s="86" t="s">
        <v>538</v>
      </c>
      <c r="AK23" s="87" t="s">
        <v>539</v>
      </c>
      <c r="AL23" s="87">
        <v>45293</v>
      </c>
      <c r="AM23" s="87">
        <v>45323</v>
      </c>
      <c r="AN23" s="22" t="s">
        <v>540</v>
      </c>
      <c r="AO23" s="83">
        <v>238.81</v>
      </c>
      <c r="AP23" s="87">
        <v>45323</v>
      </c>
      <c r="AQ23" s="86">
        <v>45334</v>
      </c>
      <c r="AR23" s="86"/>
      <c r="AS23" s="86"/>
      <c r="AT23" s="86"/>
      <c r="AU23" s="126">
        <v>45352</v>
      </c>
      <c r="AV23" s="86"/>
      <c r="AW23" s="86"/>
      <c r="AX23" s="86" t="s">
        <v>541</v>
      </c>
      <c r="AY23" s="86"/>
      <c r="AZ23" s="86" t="s">
        <v>504</v>
      </c>
      <c r="BA23" s="99">
        <v>45393</v>
      </c>
      <c r="BB23" s="86"/>
      <c r="BC23" s="86"/>
      <c r="BD23" s="126">
        <v>45392</v>
      </c>
      <c r="BE23" s="23" t="s">
        <v>258</v>
      </c>
      <c r="BF23" s="109">
        <f t="shared" si="1"/>
        <v>15.857142857142858</v>
      </c>
      <c r="BG23" s="23" t="s">
        <v>542</v>
      </c>
    </row>
    <row r="24" spans="1:59" ht="180" x14ac:dyDescent="0.2">
      <c r="A24" s="14" t="s">
        <v>543</v>
      </c>
      <c r="B24" s="27" t="s">
        <v>544</v>
      </c>
      <c r="C24" s="23" t="s">
        <v>4</v>
      </c>
      <c r="D24" s="22" t="s">
        <v>545</v>
      </c>
      <c r="E24" s="23"/>
      <c r="F24" s="23" t="s">
        <v>165</v>
      </c>
      <c r="G24" s="32" t="s">
        <v>166</v>
      </c>
      <c r="H24" s="22" t="s">
        <v>393</v>
      </c>
      <c r="I24" s="23"/>
      <c r="J24" s="23"/>
      <c r="K24" s="25">
        <v>4624</v>
      </c>
      <c r="L24" s="87">
        <v>45282</v>
      </c>
      <c r="M24" s="86" t="s">
        <v>546</v>
      </c>
      <c r="N24" s="92">
        <v>45303</v>
      </c>
      <c r="O24" s="22" t="s">
        <v>547</v>
      </c>
      <c r="P24" s="23" t="s">
        <v>95</v>
      </c>
      <c r="Q24" s="23"/>
      <c r="R24" s="23" t="s">
        <v>301</v>
      </c>
      <c r="S24" s="83">
        <v>5202</v>
      </c>
      <c r="T24" s="86">
        <v>45308</v>
      </c>
      <c r="U24" s="86">
        <v>45308</v>
      </c>
      <c r="V24" s="86">
        <v>45308</v>
      </c>
      <c r="W24" s="86">
        <v>45310</v>
      </c>
      <c r="X24" s="87" t="s">
        <v>548</v>
      </c>
      <c r="Y24" s="87" t="s">
        <v>549</v>
      </c>
      <c r="Z24" s="86">
        <v>45317</v>
      </c>
      <c r="AA24" s="86">
        <v>45335</v>
      </c>
      <c r="AB24" s="86">
        <v>45342</v>
      </c>
      <c r="AC24" s="23"/>
      <c r="AD24" s="86">
        <v>45342</v>
      </c>
      <c r="AE24" s="86">
        <v>45342</v>
      </c>
      <c r="AF24" s="86">
        <v>45310</v>
      </c>
      <c r="AG24" s="86" t="s">
        <v>43</v>
      </c>
      <c r="AH24" s="87" t="s">
        <v>550</v>
      </c>
      <c r="AI24" s="22" t="s">
        <v>551</v>
      </c>
      <c r="AJ24" s="86">
        <v>45342</v>
      </c>
      <c r="AK24" s="87" t="s">
        <v>552</v>
      </c>
      <c r="AL24" s="86">
        <v>45344</v>
      </c>
      <c r="AM24" s="86">
        <v>45370</v>
      </c>
      <c r="AN24" s="22" t="s">
        <v>553</v>
      </c>
      <c r="AO24" s="83">
        <v>663.67</v>
      </c>
      <c r="AP24" s="86">
        <v>45370</v>
      </c>
      <c r="AQ24" s="86">
        <v>45390</v>
      </c>
      <c r="AR24" s="86">
        <v>45390</v>
      </c>
      <c r="AS24" s="86"/>
      <c r="AT24" s="86"/>
      <c r="AU24" s="22" t="s">
        <v>554</v>
      </c>
      <c r="AV24" s="86">
        <v>45032</v>
      </c>
      <c r="AW24" s="99">
        <v>45412</v>
      </c>
      <c r="AX24" s="86"/>
      <c r="AY24" s="86"/>
      <c r="AZ24" s="99">
        <v>45421</v>
      </c>
      <c r="BA24" s="99">
        <v>45457</v>
      </c>
      <c r="BB24" s="86"/>
      <c r="BC24" s="86"/>
      <c r="BD24" s="126">
        <v>45436</v>
      </c>
      <c r="BE24" s="23" t="s">
        <v>258</v>
      </c>
      <c r="BF24" s="109">
        <f>(BD24-AA24)/7</f>
        <v>14.428571428571429</v>
      </c>
      <c r="BG24" s="23" t="s">
        <v>555</v>
      </c>
    </row>
    <row r="25" spans="1:59" ht="60" x14ac:dyDescent="0.2">
      <c r="A25" s="14" t="s">
        <v>556</v>
      </c>
      <c r="B25" s="27" t="s">
        <v>557</v>
      </c>
      <c r="C25" s="23" t="s">
        <v>4</v>
      </c>
      <c r="D25" s="128"/>
      <c r="E25" s="27"/>
      <c r="F25" s="27" t="s">
        <v>558</v>
      </c>
      <c r="G25" s="32" t="s">
        <v>559</v>
      </c>
      <c r="H25" s="33" t="s">
        <v>363</v>
      </c>
      <c r="I25" s="22" t="s">
        <v>454</v>
      </c>
      <c r="J25" s="23"/>
      <c r="K25" s="25">
        <v>6070</v>
      </c>
      <c r="L25" s="87">
        <v>45261</v>
      </c>
      <c r="M25" s="92">
        <v>45265</v>
      </c>
      <c r="N25" s="92">
        <v>45265</v>
      </c>
      <c r="O25" s="22" t="s">
        <v>560</v>
      </c>
      <c r="P25" s="23" t="s">
        <v>561</v>
      </c>
      <c r="Q25" s="23"/>
      <c r="R25" s="23" t="s">
        <v>301</v>
      </c>
      <c r="S25" s="23" t="s">
        <v>562</v>
      </c>
      <c r="T25" s="87">
        <v>45268</v>
      </c>
      <c r="U25" s="87">
        <v>45266</v>
      </c>
      <c r="V25" s="87">
        <v>45268</v>
      </c>
      <c r="W25" s="87">
        <v>45279</v>
      </c>
      <c r="X25" s="87">
        <v>45274</v>
      </c>
      <c r="Y25" s="87">
        <v>45296</v>
      </c>
      <c r="Z25" s="86">
        <v>45301</v>
      </c>
      <c r="AA25" s="86">
        <v>45301</v>
      </c>
      <c r="AB25" s="86">
        <v>45308</v>
      </c>
      <c r="AC25" s="23"/>
      <c r="AD25" s="87">
        <v>45307</v>
      </c>
      <c r="AE25" s="87">
        <v>45307</v>
      </c>
      <c r="AF25" s="86">
        <v>45272</v>
      </c>
      <c r="AG25" s="86" t="s">
        <v>43</v>
      </c>
      <c r="AH25" s="87" t="s">
        <v>456</v>
      </c>
      <c r="AI25" s="22" t="s">
        <v>537</v>
      </c>
      <c r="AJ25" s="87">
        <v>45307</v>
      </c>
      <c r="AK25" s="87">
        <v>45335</v>
      </c>
      <c r="AL25" s="86">
        <v>45307</v>
      </c>
      <c r="AM25" s="86">
        <v>45335</v>
      </c>
      <c r="AN25" s="22" t="s">
        <v>563</v>
      </c>
      <c r="AO25" s="83">
        <v>275.77999999999997</v>
      </c>
      <c r="AP25" s="86">
        <v>45335</v>
      </c>
      <c r="AQ25" s="87" t="s">
        <v>564</v>
      </c>
      <c r="AR25" s="86"/>
      <c r="AS25" s="86"/>
      <c r="AT25" s="86"/>
      <c r="AU25" s="23"/>
      <c r="AV25" s="129" t="s">
        <v>565</v>
      </c>
      <c r="AW25" s="99">
        <v>45413</v>
      </c>
      <c r="AX25" s="86"/>
      <c r="AY25" s="86"/>
      <c r="AZ25" s="99">
        <v>45422</v>
      </c>
      <c r="BA25" s="99">
        <v>45450</v>
      </c>
      <c r="BB25" s="86"/>
      <c r="BC25" s="86"/>
      <c r="BD25" s="130">
        <v>45450</v>
      </c>
      <c r="BE25" s="23" t="s">
        <v>322</v>
      </c>
      <c r="BF25" s="109">
        <f>(BD25-AA25)/7</f>
        <v>21.285714285714285</v>
      </c>
      <c r="BG25" s="23" t="s">
        <v>566</v>
      </c>
    </row>
    <row r="26" spans="1:59" ht="285" x14ac:dyDescent="0.2">
      <c r="A26" s="14" t="s">
        <v>567</v>
      </c>
      <c r="B26" s="27" t="s">
        <v>294</v>
      </c>
      <c r="C26" s="23" t="s">
        <v>4</v>
      </c>
      <c r="D26" s="22" t="s">
        <v>295</v>
      </c>
      <c r="E26" s="23" t="s">
        <v>246</v>
      </c>
      <c r="F26" s="23" t="s">
        <v>296</v>
      </c>
      <c r="G26" s="22" t="s">
        <v>297</v>
      </c>
      <c r="H26" s="22" t="s">
        <v>298</v>
      </c>
      <c r="I26" s="22" t="s">
        <v>299</v>
      </c>
      <c r="J26" s="23" t="s">
        <v>267</v>
      </c>
      <c r="K26" s="23" t="s">
        <v>267</v>
      </c>
      <c r="L26" s="86" t="s">
        <v>267</v>
      </c>
      <c r="M26" s="86" t="s">
        <v>267</v>
      </c>
      <c r="N26" s="86" t="s">
        <v>267</v>
      </c>
      <c r="O26" s="22" t="s">
        <v>300</v>
      </c>
      <c r="P26" s="23" t="s">
        <v>568</v>
      </c>
      <c r="Q26" s="23"/>
      <c r="R26" s="23" t="s">
        <v>301</v>
      </c>
      <c r="S26" s="35" t="s">
        <v>267</v>
      </c>
      <c r="T26" s="93" t="s">
        <v>569</v>
      </c>
      <c r="U26" s="87" t="s">
        <v>267</v>
      </c>
      <c r="V26" s="87" t="s">
        <v>267</v>
      </c>
      <c r="W26" s="87" t="s">
        <v>267</v>
      </c>
      <c r="X26" s="87" t="s">
        <v>267</v>
      </c>
      <c r="Y26" s="93">
        <v>45245</v>
      </c>
      <c r="Z26" s="87" t="s">
        <v>267</v>
      </c>
      <c r="AA26" s="93" t="s">
        <v>570</v>
      </c>
      <c r="AB26" s="87"/>
      <c r="AC26" s="36"/>
      <c r="AD26" s="92"/>
      <c r="AE26" s="92">
        <v>45258</v>
      </c>
      <c r="AF26" s="92" t="s">
        <v>43</v>
      </c>
      <c r="AG26" s="92" t="s">
        <v>43</v>
      </c>
      <c r="AH26" s="92"/>
      <c r="AI26" s="22"/>
      <c r="AJ26" s="92">
        <v>45258</v>
      </c>
      <c r="AK26" s="92">
        <v>45299</v>
      </c>
      <c r="AL26" s="92"/>
      <c r="AM26" s="92"/>
      <c r="AN26" s="20" t="s">
        <v>571</v>
      </c>
      <c r="AO26" s="83">
        <v>301.45</v>
      </c>
      <c r="AP26" s="92">
        <v>45299</v>
      </c>
      <c r="AQ26" s="86"/>
      <c r="AR26" s="93"/>
      <c r="AS26" s="86"/>
      <c r="AT26" s="86"/>
      <c r="AU26" s="26"/>
      <c r="AV26" s="92"/>
      <c r="AW26" s="92"/>
      <c r="AX26" s="86"/>
      <c r="AY26" s="86"/>
      <c r="AZ26" s="100">
        <v>45377</v>
      </c>
      <c r="BA26" s="100"/>
      <c r="BB26" s="98"/>
      <c r="BC26" s="98"/>
      <c r="BD26" s="135">
        <v>45491</v>
      </c>
      <c r="BE26" s="23" t="s">
        <v>258</v>
      </c>
      <c r="BF26" s="109"/>
      <c r="BG26" s="22" t="s">
        <v>572</v>
      </c>
    </row>
    <row r="27" spans="1:59" ht="165" x14ac:dyDescent="0.2">
      <c r="A27" s="14" t="s">
        <v>573</v>
      </c>
      <c r="B27" s="162" t="s">
        <v>91</v>
      </c>
      <c r="C27" s="23" t="s">
        <v>4</v>
      </c>
      <c r="D27" s="22" t="s">
        <v>574</v>
      </c>
      <c r="E27" s="23"/>
      <c r="F27" s="22" t="s">
        <v>92</v>
      </c>
      <c r="G27" s="32" t="s">
        <v>575</v>
      </c>
      <c r="H27" s="23" t="s">
        <v>393</v>
      </c>
      <c r="I27" s="23"/>
      <c r="J27" s="23" t="s">
        <v>576</v>
      </c>
      <c r="K27" s="38">
        <v>84126</v>
      </c>
      <c r="L27" s="86">
        <v>45322</v>
      </c>
      <c r="M27" s="86">
        <v>45351</v>
      </c>
      <c r="N27" s="86">
        <v>45436</v>
      </c>
      <c r="O27" s="22" t="s">
        <v>577</v>
      </c>
      <c r="P27" s="23" t="s">
        <v>395</v>
      </c>
      <c r="Q27" s="23"/>
      <c r="R27" s="23"/>
      <c r="S27" s="38">
        <v>84056</v>
      </c>
      <c r="T27" s="86">
        <v>45443</v>
      </c>
      <c r="U27" s="86" t="s">
        <v>43</v>
      </c>
      <c r="V27" s="86">
        <v>45443</v>
      </c>
      <c r="W27" s="87" t="s">
        <v>578</v>
      </c>
      <c r="X27" s="86">
        <v>45443</v>
      </c>
      <c r="Y27" s="86">
        <v>45464</v>
      </c>
      <c r="Z27" s="86">
        <v>45463</v>
      </c>
      <c r="AA27" s="86">
        <v>45463</v>
      </c>
      <c r="AB27" s="86">
        <v>45470</v>
      </c>
      <c r="AC27" s="23" t="s">
        <v>43</v>
      </c>
      <c r="AD27" s="86">
        <v>45469</v>
      </c>
      <c r="AE27" s="86">
        <v>45469</v>
      </c>
      <c r="AF27" s="86">
        <v>45448</v>
      </c>
      <c r="AG27" s="86" t="s">
        <v>43</v>
      </c>
      <c r="AH27" s="87" t="s">
        <v>579</v>
      </c>
      <c r="AI27" s="23" t="s">
        <v>580</v>
      </c>
      <c r="AJ27" s="86">
        <v>45469</v>
      </c>
      <c r="AK27" s="87" t="s">
        <v>581</v>
      </c>
      <c r="AL27" s="86">
        <v>45470</v>
      </c>
      <c r="AM27" s="86">
        <v>45498</v>
      </c>
      <c r="AN27" s="23" t="s">
        <v>582</v>
      </c>
      <c r="AO27" s="83">
        <v>546.86</v>
      </c>
      <c r="AP27" s="86">
        <v>45498</v>
      </c>
      <c r="AQ27" s="86">
        <v>45502</v>
      </c>
      <c r="AR27" s="86"/>
      <c r="AS27" s="86"/>
      <c r="AT27" s="86"/>
      <c r="AU27" s="23"/>
      <c r="AV27" s="86">
        <v>45505</v>
      </c>
      <c r="AW27" s="86">
        <v>45505</v>
      </c>
      <c r="AX27" s="86"/>
      <c r="AY27" s="87" t="s">
        <v>583</v>
      </c>
      <c r="AZ27" s="87">
        <v>45533</v>
      </c>
      <c r="BA27" s="86">
        <v>45554</v>
      </c>
      <c r="BB27" s="86"/>
      <c r="BC27" s="86"/>
      <c r="BD27" s="135">
        <v>45548</v>
      </c>
      <c r="BE27" s="23" t="s">
        <v>258</v>
      </c>
      <c r="BF27" s="109">
        <f>(BD27-AA27)/7</f>
        <v>12.142857142857142</v>
      </c>
      <c r="BG27" s="23" t="s">
        <v>584</v>
      </c>
    </row>
    <row r="28" spans="1:59" ht="90" x14ac:dyDescent="0.2">
      <c r="A28" s="132" t="s">
        <v>585</v>
      </c>
      <c r="B28" s="33" t="s">
        <v>341</v>
      </c>
      <c r="C28" s="33" t="s">
        <v>4</v>
      </c>
      <c r="D28" s="33" t="s">
        <v>586</v>
      </c>
      <c r="E28" s="33"/>
      <c r="F28" s="317" t="s">
        <v>263</v>
      </c>
      <c r="G28" s="39" t="s">
        <v>587</v>
      </c>
      <c r="H28" s="163" t="s">
        <v>588</v>
      </c>
      <c r="I28" s="23"/>
      <c r="J28" s="23"/>
      <c r="K28" s="25">
        <v>578</v>
      </c>
      <c r="L28" s="86">
        <v>45461</v>
      </c>
      <c r="M28" s="86">
        <v>45475</v>
      </c>
      <c r="N28" s="86">
        <v>45475</v>
      </c>
      <c r="O28" s="164" t="s">
        <v>589</v>
      </c>
      <c r="P28" s="22" t="s">
        <v>590</v>
      </c>
      <c r="Q28" s="22"/>
      <c r="R28" s="23" t="s">
        <v>53</v>
      </c>
      <c r="S28" s="25">
        <v>578</v>
      </c>
      <c r="T28" s="86">
        <v>45482</v>
      </c>
      <c r="U28" s="86"/>
      <c r="V28" s="86">
        <v>45482</v>
      </c>
      <c r="W28" s="86"/>
      <c r="X28" s="86"/>
      <c r="Y28" s="165"/>
      <c r="Z28" s="115">
        <v>45492</v>
      </c>
      <c r="AA28" s="86">
        <v>45498</v>
      </c>
      <c r="AB28" s="86">
        <v>45505</v>
      </c>
      <c r="AC28" s="23" t="s">
        <v>43</v>
      </c>
      <c r="AD28" s="86">
        <v>45503</v>
      </c>
      <c r="AE28" s="165">
        <v>45503</v>
      </c>
      <c r="AF28" s="86">
        <v>45485</v>
      </c>
      <c r="AG28" s="86" t="s">
        <v>43</v>
      </c>
      <c r="AH28" s="87" t="s">
        <v>591</v>
      </c>
      <c r="AI28" s="22" t="s">
        <v>592</v>
      </c>
      <c r="AJ28" s="86">
        <v>45504</v>
      </c>
      <c r="AK28" s="86">
        <v>45534</v>
      </c>
      <c r="AL28" s="165">
        <v>45504</v>
      </c>
      <c r="AM28" s="86">
        <v>45534</v>
      </c>
      <c r="AN28" s="22" t="s">
        <v>593</v>
      </c>
      <c r="AO28" s="83">
        <v>275.77999999999997</v>
      </c>
      <c r="AP28" s="86">
        <v>45534</v>
      </c>
      <c r="AQ28" s="86" t="s">
        <v>594</v>
      </c>
      <c r="AR28" s="86"/>
      <c r="AS28" s="86"/>
      <c r="AT28" s="86"/>
      <c r="AU28" s="166"/>
      <c r="AV28" s="86"/>
      <c r="AW28" s="86"/>
      <c r="AX28" s="86"/>
      <c r="AY28" s="86"/>
      <c r="AZ28" s="87" t="s">
        <v>595</v>
      </c>
      <c r="BA28" s="86">
        <v>45589</v>
      </c>
      <c r="BB28" s="86"/>
      <c r="BC28" s="165"/>
      <c r="BD28" s="135">
        <v>45552</v>
      </c>
      <c r="BE28" s="23" t="s">
        <v>322</v>
      </c>
      <c r="BF28" s="109">
        <f>(BD28-AA28)/7</f>
        <v>7.7142857142857144</v>
      </c>
      <c r="BG28" s="40" t="s">
        <v>596</v>
      </c>
    </row>
    <row r="29" spans="1:59" ht="45" x14ac:dyDescent="0.2">
      <c r="A29" s="14" t="s">
        <v>597</v>
      </c>
      <c r="B29" s="22" t="s">
        <v>598</v>
      </c>
      <c r="C29" s="23" t="s">
        <v>4</v>
      </c>
      <c r="D29" s="22" t="s">
        <v>599</v>
      </c>
      <c r="E29" s="23"/>
      <c r="F29" s="23" t="s">
        <v>600</v>
      </c>
      <c r="G29" s="39" t="s">
        <v>587</v>
      </c>
      <c r="H29" s="23" t="s">
        <v>601</v>
      </c>
      <c r="I29" s="23"/>
      <c r="J29" s="23"/>
      <c r="K29" s="128"/>
      <c r="L29" s="86">
        <v>45478</v>
      </c>
      <c r="M29" s="86">
        <v>45492</v>
      </c>
      <c r="N29" s="86">
        <v>45495</v>
      </c>
      <c r="O29" s="22" t="s">
        <v>602</v>
      </c>
      <c r="P29" s="22" t="s">
        <v>603</v>
      </c>
      <c r="Q29" s="22"/>
      <c r="R29" s="23"/>
      <c r="S29" s="25">
        <v>38486</v>
      </c>
      <c r="T29" s="86">
        <v>45498</v>
      </c>
      <c r="U29" s="86"/>
      <c r="V29" s="86">
        <v>45498</v>
      </c>
      <c r="W29" s="86"/>
      <c r="X29" s="86">
        <v>45506</v>
      </c>
      <c r="Y29" s="86">
        <v>45527</v>
      </c>
      <c r="Z29" s="86">
        <v>45506</v>
      </c>
      <c r="AA29" s="86">
        <v>45509</v>
      </c>
      <c r="AB29" s="86">
        <v>45516</v>
      </c>
      <c r="AC29" s="22" t="s">
        <v>43</v>
      </c>
      <c r="AD29" s="86">
        <v>45516</v>
      </c>
      <c r="AE29" s="86">
        <v>45516</v>
      </c>
      <c r="AF29" s="86">
        <v>45502</v>
      </c>
      <c r="AG29" s="86" t="s">
        <v>43</v>
      </c>
      <c r="AH29" s="87" t="s">
        <v>604</v>
      </c>
      <c r="AI29" s="22" t="s">
        <v>605</v>
      </c>
      <c r="AJ29" s="86">
        <v>45517</v>
      </c>
      <c r="AK29" s="87" t="s">
        <v>606</v>
      </c>
      <c r="AL29" s="86">
        <v>45517</v>
      </c>
      <c r="AM29" s="86">
        <v>45547</v>
      </c>
      <c r="AN29" s="22" t="s">
        <v>607</v>
      </c>
      <c r="AO29" s="83">
        <v>298.13</v>
      </c>
      <c r="AP29" s="86">
        <v>45547</v>
      </c>
      <c r="AQ29" s="86"/>
      <c r="AR29" s="86"/>
      <c r="AS29" s="86"/>
      <c r="AT29" s="86"/>
      <c r="AU29" s="22" t="s">
        <v>608</v>
      </c>
      <c r="AV29" s="86" t="s">
        <v>43</v>
      </c>
      <c r="AW29" s="86" t="s">
        <v>43</v>
      </c>
      <c r="AX29" s="86" t="s">
        <v>609</v>
      </c>
      <c r="AY29" s="86" t="s">
        <v>610</v>
      </c>
      <c r="AZ29" s="129" t="s">
        <v>611</v>
      </c>
      <c r="BA29" s="86">
        <v>45600</v>
      </c>
      <c r="BB29" s="86"/>
      <c r="BC29" s="86"/>
      <c r="BD29" s="135">
        <v>45597</v>
      </c>
      <c r="BE29" s="23" t="s">
        <v>322</v>
      </c>
      <c r="BF29" s="109">
        <f>(BD29-AA29)/7</f>
        <v>12.571428571428571</v>
      </c>
      <c r="BG29" s="22" t="s">
        <v>612</v>
      </c>
    </row>
    <row r="30" spans="1:59" ht="90" x14ac:dyDescent="0.2">
      <c r="A30" s="14" t="s">
        <v>613</v>
      </c>
      <c r="B30" s="27" t="s">
        <v>614</v>
      </c>
      <c r="C30" s="23" t="s">
        <v>4</v>
      </c>
      <c r="D30" s="22" t="s">
        <v>615</v>
      </c>
      <c r="E30" s="23"/>
      <c r="F30" s="22" t="s">
        <v>616</v>
      </c>
      <c r="G30" s="111" t="s">
        <v>617</v>
      </c>
      <c r="H30" s="33" t="s">
        <v>618</v>
      </c>
      <c r="I30" s="109" t="s">
        <v>43</v>
      </c>
      <c r="J30" s="109" t="s">
        <v>43</v>
      </c>
      <c r="K30" s="38">
        <v>31270</v>
      </c>
      <c r="L30" s="112">
        <v>45455</v>
      </c>
      <c r="M30" s="112">
        <v>45460</v>
      </c>
      <c r="N30" s="115">
        <v>45463</v>
      </c>
      <c r="O30" s="40" t="s">
        <v>619</v>
      </c>
      <c r="P30" s="40" t="s">
        <v>524</v>
      </c>
      <c r="Q30" s="40"/>
      <c r="R30" s="109"/>
      <c r="S30" s="198">
        <v>31200</v>
      </c>
      <c r="T30" s="115">
        <v>45468</v>
      </c>
      <c r="U30" s="113" t="s">
        <v>43</v>
      </c>
      <c r="V30" s="115">
        <v>45468</v>
      </c>
      <c r="W30" s="112" t="s">
        <v>620</v>
      </c>
      <c r="X30" s="115"/>
      <c r="Y30" s="115"/>
      <c r="Z30" s="115">
        <v>45474</v>
      </c>
      <c r="AA30" s="115">
        <v>45474</v>
      </c>
      <c r="AB30" s="115">
        <v>45481</v>
      </c>
      <c r="AC30" s="109" t="s">
        <v>43</v>
      </c>
      <c r="AD30" s="115">
        <v>45481</v>
      </c>
      <c r="AE30" s="115">
        <v>45481</v>
      </c>
      <c r="AF30" s="115">
        <v>45470</v>
      </c>
      <c r="AG30" s="115" t="s">
        <v>43</v>
      </c>
      <c r="AH30" s="112" t="s">
        <v>621</v>
      </c>
      <c r="AI30" s="40" t="s">
        <v>622</v>
      </c>
      <c r="AJ30" s="115">
        <v>45482</v>
      </c>
      <c r="AK30" s="115">
        <v>45510</v>
      </c>
      <c r="AL30" s="115">
        <v>45482</v>
      </c>
      <c r="AM30" s="115">
        <v>45510</v>
      </c>
      <c r="AN30" s="40" t="s">
        <v>623</v>
      </c>
      <c r="AO30" s="105">
        <v>546.86</v>
      </c>
      <c r="AP30" s="115">
        <v>45510</v>
      </c>
      <c r="AQ30" s="115">
        <v>45511</v>
      </c>
      <c r="AR30" s="115" t="s">
        <v>43</v>
      </c>
      <c r="AS30" s="115"/>
      <c r="AT30" s="112" t="s">
        <v>624</v>
      </c>
      <c r="AU30" s="22" t="s">
        <v>625</v>
      </c>
      <c r="AV30" s="115" t="s">
        <v>43</v>
      </c>
      <c r="AW30" s="115" t="s">
        <v>43</v>
      </c>
      <c r="AX30" s="115"/>
      <c r="AY30" s="112" t="s">
        <v>626</v>
      </c>
      <c r="AZ30" s="112" t="s">
        <v>627</v>
      </c>
      <c r="BA30" s="115">
        <v>45625</v>
      </c>
      <c r="BB30" s="115"/>
      <c r="BC30" s="115" t="s">
        <v>628</v>
      </c>
      <c r="BD30" s="135">
        <v>45623</v>
      </c>
      <c r="BE30" s="109" t="s">
        <v>258</v>
      </c>
      <c r="BF30" s="109">
        <f>(BD30-AA30)/7</f>
        <v>21.285714285714285</v>
      </c>
      <c r="BG30" s="40" t="s">
        <v>629</v>
      </c>
    </row>
    <row r="31" spans="1:59" ht="60" x14ac:dyDescent="0.2">
      <c r="A31" s="14" t="s">
        <v>630</v>
      </c>
      <c r="B31" s="22" t="s">
        <v>631</v>
      </c>
      <c r="C31" s="23" t="s">
        <v>4</v>
      </c>
      <c r="D31" s="22" t="s">
        <v>632</v>
      </c>
      <c r="E31" s="23"/>
      <c r="F31" s="23" t="s">
        <v>633</v>
      </c>
      <c r="G31" s="32" t="s">
        <v>634</v>
      </c>
      <c r="H31" s="23" t="s">
        <v>601</v>
      </c>
      <c r="I31" s="23"/>
      <c r="J31" s="23"/>
      <c r="K31" s="23"/>
      <c r="L31" s="86">
        <v>45490</v>
      </c>
      <c r="M31" s="86">
        <v>45504</v>
      </c>
      <c r="N31" s="86">
        <v>45504</v>
      </c>
      <c r="O31" s="22" t="s">
        <v>632</v>
      </c>
      <c r="P31" s="22" t="s">
        <v>635</v>
      </c>
      <c r="Q31" s="22"/>
      <c r="R31" s="23"/>
      <c r="S31" s="25">
        <v>9984</v>
      </c>
      <c r="T31" s="86">
        <v>45505</v>
      </c>
      <c r="U31" s="86"/>
      <c r="V31" s="86">
        <v>45505</v>
      </c>
      <c r="W31" s="86"/>
      <c r="X31" s="86">
        <v>45511</v>
      </c>
      <c r="Y31" s="86">
        <v>45532</v>
      </c>
      <c r="Z31" s="86">
        <v>45531</v>
      </c>
      <c r="AA31" s="86">
        <v>45531</v>
      </c>
      <c r="AB31" s="86">
        <v>45538</v>
      </c>
      <c r="AC31" s="23" t="s">
        <v>43</v>
      </c>
      <c r="AD31" s="86">
        <v>45538</v>
      </c>
      <c r="AE31" s="86">
        <v>45538</v>
      </c>
      <c r="AF31" s="86"/>
      <c r="AG31" s="86" t="s">
        <v>43</v>
      </c>
      <c r="AH31" s="87" t="s">
        <v>636</v>
      </c>
      <c r="AI31" s="22" t="s">
        <v>637</v>
      </c>
      <c r="AJ31" s="86">
        <v>45538</v>
      </c>
      <c r="AK31" s="87" t="s">
        <v>638</v>
      </c>
      <c r="AL31" s="86">
        <v>45538</v>
      </c>
      <c r="AM31" s="86">
        <v>45568</v>
      </c>
      <c r="AN31" s="22" t="s">
        <v>639</v>
      </c>
      <c r="AO31" s="83">
        <v>320.47000000000003</v>
      </c>
      <c r="AP31" s="86">
        <v>45568</v>
      </c>
      <c r="AQ31" s="87" t="s">
        <v>640</v>
      </c>
      <c r="AR31" s="86"/>
      <c r="AS31" s="86" t="s">
        <v>43</v>
      </c>
      <c r="AT31" s="87" t="s">
        <v>641</v>
      </c>
      <c r="AU31" s="22" t="s">
        <v>642</v>
      </c>
      <c r="AV31" s="86" t="s">
        <v>43</v>
      </c>
      <c r="AW31" s="86" t="s">
        <v>43</v>
      </c>
      <c r="AX31" s="87">
        <v>45596</v>
      </c>
      <c r="AY31" s="86" t="s">
        <v>504</v>
      </c>
      <c r="AZ31" s="87" t="s">
        <v>643</v>
      </c>
      <c r="BA31" s="86">
        <v>45674</v>
      </c>
      <c r="BB31" s="86"/>
      <c r="BC31" s="86"/>
      <c r="BD31" s="135">
        <v>45674</v>
      </c>
      <c r="BE31" s="23" t="s">
        <v>258</v>
      </c>
      <c r="BF31" s="109">
        <f>(BD31-AA31)/7</f>
        <v>20.428571428571427</v>
      </c>
      <c r="BG31" s="22" t="s">
        <v>644</v>
      </c>
    </row>
    <row r="32" spans="1:59" ht="120" x14ac:dyDescent="0.2">
      <c r="A32" s="14" t="s">
        <v>645</v>
      </c>
      <c r="B32" s="27" t="s">
        <v>441</v>
      </c>
      <c r="C32" s="23" t="s">
        <v>4</v>
      </c>
      <c r="D32" s="22" t="s">
        <v>442</v>
      </c>
      <c r="E32" s="22"/>
      <c r="F32" s="22" t="s">
        <v>406</v>
      </c>
      <c r="G32" s="32" t="s">
        <v>407</v>
      </c>
      <c r="H32" s="22" t="s">
        <v>393</v>
      </c>
      <c r="I32" s="23"/>
      <c r="J32" s="23"/>
      <c r="K32" s="25" t="s">
        <v>43</v>
      </c>
      <c r="L32" s="87" t="s">
        <v>43</v>
      </c>
      <c r="M32" s="87" t="s">
        <v>43</v>
      </c>
      <c r="N32" s="87" t="s">
        <v>43</v>
      </c>
      <c r="O32" s="22" t="s">
        <v>443</v>
      </c>
      <c r="P32" s="23" t="s">
        <v>395</v>
      </c>
      <c r="Q32" s="23"/>
      <c r="R32" s="22"/>
      <c r="S32" s="35" t="s">
        <v>43</v>
      </c>
      <c r="T32" s="87" t="s">
        <v>646</v>
      </c>
      <c r="U32" s="87"/>
      <c r="V32" s="87" t="s">
        <v>43</v>
      </c>
      <c r="W32" s="87">
        <v>45103</v>
      </c>
      <c r="X32" s="87" t="s">
        <v>43</v>
      </c>
      <c r="Y32" s="87" t="s">
        <v>647</v>
      </c>
      <c r="Z32" s="87" t="s">
        <v>43</v>
      </c>
      <c r="AA32" s="87">
        <v>45611</v>
      </c>
      <c r="AB32" s="87"/>
      <c r="AC32" s="22"/>
      <c r="AD32" s="87">
        <v>45625</v>
      </c>
      <c r="AE32" s="87">
        <v>45625</v>
      </c>
      <c r="AF32" s="87" t="s">
        <v>43</v>
      </c>
      <c r="AG32" s="87" t="s">
        <v>43</v>
      </c>
      <c r="AH32" s="86">
        <v>45617</v>
      </c>
      <c r="AI32" s="22" t="s">
        <v>648</v>
      </c>
      <c r="AJ32" s="87">
        <v>45625</v>
      </c>
      <c r="AK32" s="87">
        <v>45667</v>
      </c>
      <c r="AL32" s="87">
        <v>45628</v>
      </c>
      <c r="AM32" s="87">
        <v>45667</v>
      </c>
      <c r="AN32" s="22" t="s">
        <v>649</v>
      </c>
      <c r="AO32" s="51">
        <v>294</v>
      </c>
      <c r="AP32" s="87">
        <v>45667</v>
      </c>
      <c r="AQ32" s="87">
        <v>45667</v>
      </c>
      <c r="AR32" s="87"/>
      <c r="AS32" s="87" t="s">
        <v>43</v>
      </c>
      <c r="AT32" s="87"/>
      <c r="AU32" s="22"/>
      <c r="AV32" s="87">
        <v>45677</v>
      </c>
      <c r="AW32" s="86">
        <v>45679</v>
      </c>
      <c r="AX32" s="87"/>
      <c r="AY32" s="87" t="s">
        <v>650</v>
      </c>
      <c r="AZ32" s="101">
        <v>45694</v>
      </c>
      <c r="BA32" s="209" t="s">
        <v>651</v>
      </c>
      <c r="BB32" s="87"/>
      <c r="BC32" s="87" t="s">
        <v>652</v>
      </c>
      <c r="BD32" s="135">
        <v>45709</v>
      </c>
      <c r="BE32" s="22" t="s">
        <v>258</v>
      </c>
      <c r="BF32" s="31"/>
      <c r="BG32" s="210" t="s">
        <v>653</v>
      </c>
    </row>
    <row r="33" spans="1:59" ht="75" x14ac:dyDescent="0.2">
      <c r="A33" s="14" t="s">
        <v>654</v>
      </c>
      <c r="B33" s="246" t="s">
        <v>655</v>
      </c>
      <c r="C33" s="23" t="s">
        <v>4</v>
      </c>
      <c r="D33" s="23"/>
      <c r="E33" s="23"/>
      <c r="F33" s="22" t="s">
        <v>656</v>
      </c>
      <c r="G33" s="39" t="s">
        <v>657</v>
      </c>
      <c r="H33" s="23" t="s">
        <v>601</v>
      </c>
      <c r="I33" s="23"/>
      <c r="J33" s="23"/>
      <c r="K33" s="23"/>
      <c r="L33" s="86">
        <v>45715</v>
      </c>
      <c r="M33" s="86" t="s">
        <v>658</v>
      </c>
      <c r="N33" s="86">
        <v>45744</v>
      </c>
      <c r="O33" s="22" t="s">
        <v>659</v>
      </c>
      <c r="P33" s="23" t="s">
        <v>123</v>
      </c>
      <c r="Q33" s="23"/>
      <c r="R33" s="23"/>
      <c r="S33" s="38">
        <v>2535</v>
      </c>
      <c r="T33" s="86">
        <v>45750</v>
      </c>
      <c r="U33" s="86"/>
      <c r="V33" s="86">
        <v>45750</v>
      </c>
      <c r="W33" s="86"/>
      <c r="X33" s="86">
        <v>45758</v>
      </c>
      <c r="Y33" s="86">
        <v>45793</v>
      </c>
      <c r="Z33" s="87" t="s">
        <v>660</v>
      </c>
      <c r="AA33" s="87" t="s">
        <v>661</v>
      </c>
      <c r="AB33" s="86"/>
      <c r="AC33" s="23"/>
      <c r="AD33" s="86"/>
      <c r="AE33" s="86"/>
      <c r="AF33" s="86">
        <v>45757</v>
      </c>
      <c r="AG33" s="86"/>
      <c r="AH33" s="22" t="s">
        <v>662</v>
      </c>
      <c r="AI33" s="23"/>
      <c r="AJ33" s="86"/>
      <c r="AK33" s="86"/>
      <c r="AL33" s="86"/>
      <c r="AM33" s="86"/>
      <c r="AN33" s="23"/>
      <c r="AO33" s="83"/>
      <c r="AP33" s="86"/>
      <c r="AQ33" s="86"/>
      <c r="AR33" s="86"/>
      <c r="AS33" s="86"/>
      <c r="AT33" s="86"/>
      <c r="AU33" s="23"/>
      <c r="AV33" s="86"/>
      <c r="AW33" s="86"/>
      <c r="AX33" s="86"/>
      <c r="AY33" s="86"/>
      <c r="AZ33" s="86"/>
      <c r="BA33" s="86"/>
      <c r="BB33" s="86"/>
      <c r="BC33" s="86"/>
      <c r="BD33" s="23"/>
      <c r="BE33" s="23"/>
      <c r="BF33" s="31"/>
      <c r="BG33" s="22" t="s">
        <v>663</v>
      </c>
    </row>
    <row r="34" spans="1:59" ht="90" x14ac:dyDescent="0.2">
      <c r="A34" s="14" t="s">
        <v>664</v>
      </c>
      <c r="B34" s="27" t="s">
        <v>665</v>
      </c>
      <c r="C34" s="23" t="s">
        <v>4</v>
      </c>
      <c r="D34" s="22" t="s">
        <v>666</v>
      </c>
      <c r="E34" s="22"/>
      <c r="F34" s="22" t="s">
        <v>667</v>
      </c>
      <c r="G34" s="32" t="s">
        <v>668</v>
      </c>
      <c r="H34" s="22" t="s">
        <v>669</v>
      </c>
      <c r="I34" s="23"/>
      <c r="J34" s="23"/>
      <c r="K34" s="25">
        <v>31790</v>
      </c>
      <c r="L34" s="87">
        <v>45644</v>
      </c>
      <c r="M34" s="87">
        <v>45644</v>
      </c>
      <c r="N34" s="87">
        <v>45644</v>
      </c>
      <c r="O34" s="22" t="s">
        <v>670</v>
      </c>
      <c r="P34" s="22" t="s">
        <v>671</v>
      </c>
      <c r="Q34" s="22"/>
      <c r="R34" s="22"/>
      <c r="S34" s="35">
        <v>31790</v>
      </c>
      <c r="T34" s="87">
        <v>45672</v>
      </c>
      <c r="U34" s="87"/>
      <c r="V34" s="87">
        <v>45672</v>
      </c>
      <c r="W34" s="87"/>
      <c r="X34" s="87" t="s">
        <v>672</v>
      </c>
      <c r="Y34" s="87">
        <v>45693</v>
      </c>
      <c r="Z34" s="87">
        <v>45677</v>
      </c>
      <c r="AA34" s="87">
        <v>45678</v>
      </c>
      <c r="AB34" s="87">
        <v>45685</v>
      </c>
      <c r="AC34" s="22" t="s">
        <v>43</v>
      </c>
      <c r="AD34" s="87">
        <v>45684</v>
      </c>
      <c r="AE34" s="87">
        <v>45684</v>
      </c>
      <c r="AF34" s="87">
        <v>45674</v>
      </c>
      <c r="AG34" s="87" t="s">
        <v>43</v>
      </c>
      <c r="AH34" s="86">
        <v>45672</v>
      </c>
      <c r="AI34" s="22" t="s">
        <v>537</v>
      </c>
      <c r="AJ34" s="87">
        <v>45684</v>
      </c>
      <c r="AK34" s="87" t="s">
        <v>673</v>
      </c>
      <c r="AL34" s="87">
        <v>45685</v>
      </c>
      <c r="AM34" s="87">
        <v>45715</v>
      </c>
      <c r="AN34" s="22" t="s">
        <v>674</v>
      </c>
      <c r="AO34" s="51">
        <v>311.35000000000002</v>
      </c>
      <c r="AP34" s="87">
        <v>45715</v>
      </c>
      <c r="AQ34" s="87">
        <v>45733</v>
      </c>
      <c r="AR34" s="87"/>
      <c r="AS34" s="87"/>
      <c r="AT34" s="87" t="s">
        <v>675</v>
      </c>
      <c r="AU34" s="22" t="s">
        <v>676</v>
      </c>
      <c r="AV34" s="87" t="s">
        <v>43</v>
      </c>
      <c r="AW34" s="86" t="s">
        <v>43</v>
      </c>
      <c r="AX34" s="87" t="s">
        <v>43</v>
      </c>
      <c r="AY34" s="87" t="s">
        <v>677</v>
      </c>
      <c r="AZ34" s="101" t="s">
        <v>43</v>
      </c>
      <c r="BA34" s="86">
        <v>45797</v>
      </c>
      <c r="BB34" s="87"/>
      <c r="BC34" s="87"/>
      <c r="BD34" s="209">
        <v>45796</v>
      </c>
      <c r="BE34" s="22" t="s">
        <v>258</v>
      </c>
      <c r="BF34" s="109">
        <f>(BD34-AA34)/7</f>
        <v>16.857142857142858</v>
      </c>
      <c r="BG34" s="27" t="s">
        <v>629</v>
      </c>
    </row>
    <row r="35" spans="1:59" ht="150" x14ac:dyDescent="0.2">
      <c r="A35" s="14" t="s">
        <v>678</v>
      </c>
      <c r="B35" s="27" t="s">
        <v>679</v>
      </c>
      <c r="C35" s="23" t="s">
        <v>4</v>
      </c>
      <c r="D35" s="22" t="s">
        <v>680</v>
      </c>
      <c r="E35" s="23"/>
      <c r="F35" s="22" t="s">
        <v>681</v>
      </c>
      <c r="G35" s="32" t="s">
        <v>682</v>
      </c>
      <c r="H35" s="33" t="s">
        <v>683</v>
      </c>
      <c r="I35" s="23"/>
      <c r="J35" s="23"/>
      <c r="K35" s="37"/>
      <c r="L35" s="87">
        <v>45645</v>
      </c>
      <c r="M35" s="92" t="s">
        <v>684</v>
      </c>
      <c r="N35" s="86">
        <v>45670</v>
      </c>
      <c r="O35" s="22" t="s">
        <v>685</v>
      </c>
      <c r="P35" s="22" t="s">
        <v>686</v>
      </c>
      <c r="Q35" s="22"/>
      <c r="R35" s="23"/>
      <c r="S35" s="38">
        <v>17472</v>
      </c>
      <c r="T35" s="86">
        <v>45678</v>
      </c>
      <c r="U35" s="92"/>
      <c r="V35" s="86">
        <v>45678</v>
      </c>
      <c r="W35" s="87"/>
      <c r="X35" s="86">
        <v>45684</v>
      </c>
      <c r="Y35" s="86">
        <v>45705</v>
      </c>
      <c r="Z35" s="87">
        <v>45700</v>
      </c>
      <c r="AA35" s="86">
        <v>45700</v>
      </c>
      <c r="AB35" s="86">
        <v>45707</v>
      </c>
      <c r="AC35" s="23" t="s">
        <v>43</v>
      </c>
      <c r="AD35" s="86">
        <v>45705</v>
      </c>
      <c r="AE35" s="86">
        <v>45705</v>
      </c>
      <c r="AF35" s="86">
        <v>45680</v>
      </c>
      <c r="AG35" s="86" t="s">
        <v>43</v>
      </c>
      <c r="AH35" s="86">
        <v>45672</v>
      </c>
      <c r="AI35" s="22" t="s">
        <v>687</v>
      </c>
      <c r="AJ35" s="86">
        <v>45705</v>
      </c>
      <c r="AK35" s="87" t="s">
        <v>688</v>
      </c>
      <c r="AL35" s="86">
        <v>45706</v>
      </c>
      <c r="AM35" s="86">
        <v>45736</v>
      </c>
      <c r="AN35" s="22" t="s">
        <v>689</v>
      </c>
      <c r="AO35" s="83">
        <v>285.82</v>
      </c>
      <c r="AP35" s="86">
        <v>45736</v>
      </c>
      <c r="AQ35" s="86">
        <v>45769</v>
      </c>
      <c r="AR35" s="86"/>
      <c r="AS35" s="86"/>
      <c r="AT35" s="87" t="s">
        <v>690</v>
      </c>
      <c r="AU35" s="23"/>
      <c r="AV35" s="86"/>
      <c r="AW35" s="86"/>
      <c r="AX35" s="86">
        <v>45806</v>
      </c>
      <c r="AY35" s="87" t="s">
        <v>677</v>
      </c>
      <c r="AZ35" s="86"/>
      <c r="BA35" s="86">
        <v>45826</v>
      </c>
      <c r="BB35" s="86"/>
      <c r="BC35" s="86"/>
      <c r="BD35" s="130">
        <v>45819</v>
      </c>
      <c r="BE35" s="23" t="s">
        <v>322</v>
      </c>
      <c r="BF35" s="109">
        <f>(BD35-AA35)/7</f>
        <v>17</v>
      </c>
      <c r="BG35" s="23" t="s">
        <v>691</v>
      </c>
    </row>
    <row r="36" spans="1:59" ht="45" x14ac:dyDescent="0.2">
      <c r="A36" s="14" t="s">
        <v>692</v>
      </c>
      <c r="B36" s="27" t="s">
        <v>693</v>
      </c>
      <c r="C36" s="23" t="s">
        <v>4</v>
      </c>
      <c r="D36" s="23"/>
      <c r="E36" s="23"/>
      <c r="F36" s="22" t="s">
        <v>694</v>
      </c>
      <c r="G36" s="39" t="s">
        <v>587</v>
      </c>
      <c r="H36" s="23" t="s">
        <v>695</v>
      </c>
      <c r="I36" s="23"/>
      <c r="J36" s="23"/>
      <c r="K36" s="23"/>
      <c r="L36" s="86" t="s">
        <v>43</v>
      </c>
      <c r="M36" s="86" t="s">
        <v>43</v>
      </c>
      <c r="N36" s="86">
        <v>45786</v>
      </c>
      <c r="O36" s="22" t="s">
        <v>696</v>
      </c>
      <c r="P36" s="22" t="s">
        <v>697</v>
      </c>
      <c r="Q36" s="130">
        <v>45814</v>
      </c>
      <c r="R36" s="23"/>
      <c r="S36" s="38">
        <v>39638</v>
      </c>
      <c r="T36" s="86">
        <v>45793</v>
      </c>
      <c r="U36" s="86"/>
      <c r="V36" s="86">
        <v>45793</v>
      </c>
      <c r="W36" s="86"/>
      <c r="X36" s="86" t="s">
        <v>43</v>
      </c>
      <c r="Y36" s="86" t="s">
        <v>43</v>
      </c>
      <c r="Z36" s="87">
        <v>45804</v>
      </c>
      <c r="AA36" s="86">
        <v>45804</v>
      </c>
      <c r="AB36" s="86">
        <v>45811</v>
      </c>
      <c r="AC36" s="23"/>
      <c r="AD36" s="86">
        <v>45807</v>
      </c>
      <c r="AE36" s="86">
        <v>45807</v>
      </c>
      <c r="AF36" s="86">
        <v>45798</v>
      </c>
      <c r="AG36" s="86" t="s">
        <v>43</v>
      </c>
      <c r="AH36" s="22" t="s">
        <v>698</v>
      </c>
      <c r="AI36" s="23"/>
      <c r="AJ36" s="86">
        <v>45807</v>
      </c>
      <c r="AK36" s="86">
        <v>45842</v>
      </c>
      <c r="AL36" s="86">
        <v>45807</v>
      </c>
      <c r="AM36" s="86">
        <v>45842</v>
      </c>
      <c r="AN36" s="22" t="s">
        <v>699</v>
      </c>
      <c r="AO36" s="83">
        <v>334.8</v>
      </c>
      <c r="AP36" s="86">
        <v>45842</v>
      </c>
      <c r="AQ36" s="86">
        <v>45845</v>
      </c>
      <c r="AR36" s="86"/>
      <c r="AS36" s="86"/>
      <c r="AT36" s="86" t="s">
        <v>700</v>
      </c>
      <c r="AU36" s="23"/>
      <c r="AV36" s="86">
        <v>45853</v>
      </c>
      <c r="AW36" s="86">
        <v>45866</v>
      </c>
      <c r="AX36" s="86">
        <v>45870</v>
      </c>
      <c r="AY36" s="86" t="s">
        <v>650</v>
      </c>
      <c r="AZ36" s="99">
        <v>45877</v>
      </c>
      <c r="BA36" s="86">
        <v>45901</v>
      </c>
      <c r="BB36" s="86"/>
      <c r="BC36" s="86"/>
      <c r="BD36" s="130">
        <v>45901</v>
      </c>
      <c r="BE36" s="23" t="s">
        <v>258</v>
      </c>
      <c r="BF36" s="109">
        <f>(BD36-AA36)/7</f>
        <v>13.857142857142858</v>
      </c>
      <c r="BG36" s="23" t="s">
        <v>691</v>
      </c>
    </row>
    <row r="37" spans="1:59" ht="120" x14ac:dyDescent="0.2">
      <c r="A37" s="8" t="s">
        <v>701</v>
      </c>
      <c r="B37" s="10" t="s">
        <v>702</v>
      </c>
      <c r="C37" s="7" t="s">
        <v>4</v>
      </c>
      <c r="D37" s="8" t="s">
        <v>703</v>
      </c>
      <c r="E37" s="7"/>
      <c r="F37" s="7" t="s">
        <v>704</v>
      </c>
      <c r="G37" s="12" t="s">
        <v>705</v>
      </c>
      <c r="H37" s="11" t="s">
        <v>363</v>
      </c>
      <c r="I37" s="7"/>
      <c r="J37" s="7"/>
      <c r="K37" s="7"/>
      <c r="L37" s="90">
        <v>44760</v>
      </c>
      <c r="M37" s="94">
        <v>44771</v>
      </c>
      <c r="N37" s="90"/>
      <c r="O37" s="8" t="s">
        <v>706</v>
      </c>
      <c r="P37" s="8"/>
      <c r="Q37" s="8"/>
      <c r="R37" s="7"/>
      <c r="S37" s="9"/>
      <c r="T37" s="90"/>
      <c r="U37" s="90"/>
      <c r="V37" s="90"/>
      <c r="W37" s="90"/>
      <c r="X37" s="90"/>
      <c r="Y37" s="90"/>
      <c r="Z37" s="90"/>
      <c r="AA37" s="90"/>
      <c r="AB37" s="90"/>
      <c r="AC37" s="7"/>
      <c r="AD37" s="90"/>
      <c r="AE37" s="90"/>
      <c r="AF37" s="90"/>
      <c r="AG37" s="90"/>
      <c r="AH37" s="90" t="s">
        <v>707</v>
      </c>
      <c r="AI37" s="7"/>
      <c r="AJ37" s="90"/>
      <c r="AK37" s="90"/>
      <c r="AL37" s="90"/>
      <c r="AM37" s="90"/>
      <c r="AN37" s="7"/>
      <c r="AO37" s="55"/>
      <c r="AP37" s="90"/>
      <c r="AQ37" s="90"/>
      <c r="AR37" s="90"/>
      <c r="AS37" s="90"/>
      <c r="AT37" s="90"/>
      <c r="AU37" s="7"/>
      <c r="AV37" s="90"/>
      <c r="AW37" s="90"/>
      <c r="AX37" s="90"/>
      <c r="AY37" s="90"/>
      <c r="AZ37" s="90"/>
      <c r="BA37" s="90"/>
      <c r="BB37" s="90"/>
      <c r="BC37" s="90"/>
      <c r="BD37" s="7"/>
      <c r="BE37" s="7"/>
      <c r="BF37" s="17"/>
      <c r="BG37" s="7"/>
    </row>
    <row r="38" spans="1:59" ht="90" x14ac:dyDescent="0.2">
      <c r="A38" s="8" t="s">
        <v>708</v>
      </c>
      <c r="B38" s="10" t="s">
        <v>709</v>
      </c>
      <c r="C38" s="7" t="s">
        <v>4</v>
      </c>
      <c r="D38" s="8" t="s">
        <v>710</v>
      </c>
      <c r="E38" s="7"/>
      <c r="F38" s="8" t="s">
        <v>711</v>
      </c>
      <c r="G38" s="15" t="s">
        <v>712</v>
      </c>
      <c r="H38" s="11" t="s">
        <v>393</v>
      </c>
      <c r="I38" s="7"/>
      <c r="J38" s="7"/>
      <c r="K38" s="13"/>
      <c r="L38" s="89">
        <v>44788</v>
      </c>
      <c r="M38" s="94" t="s">
        <v>713</v>
      </c>
      <c r="N38" s="90"/>
      <c r="O38" s="8" t="s">
        <v>714</v>
      </c>
      <c r="P38" s="8"/>
      <c r="Q38" s="8"/>
      <c r="R38" s="7"/>
      <c r="S38" s="7"/>
      <c r="T38" s="90"/>
      <c r="U38" s="94"/>
      <c r="V38" s="90"/>
      <c r="W38" s="89"/>
      <c r="X38" s="90"/>
      <c r="Y38" s="90"/>
      <c r="Z38" s="90"/>
      <c r="AA38" s="90"/>
      <c r="AB38" s="90"/>
      <c r="AC38" s="7"/>
      <c r="AD38" s="90"/>
      <c r="AE38" s="90"/>
      <c r="AF38" s="90"/>
      <c r="AG38" s="90"/>
      <c r="AH38" s="90"/>
      <c r="AI38" s="7"/>
      <c r="AJ38" s="90"/>
      <c r="AK38" s="90"/>
      <c r="AL38" s="90"/>
      <c r="AM38" s="90"/>
      <c r="AN38" s="7"/>
      <c r="AO38" s="55"/>
      <c r="AP38" s="90"/>
      <c r="AQ38" s="90"/>
      <c r="AR38" s="90"/>
      <c r="AS38" s="90"/>
      <c r="AT38" s="90"/>
      <c r="AU38" s="7"/>
      <c r="AV38" s="90"/>
      <c r="AW38" s="90"/>
      <c r="AX38" s="90"/>
      <c r="AY38" s="90"/>
      <c r="AZ38" s="90"/>
      <c r="BA38" s="90"/>
      <c r="BB38" s="90"/>
      <c r="BC38" s="90"/>
      <c r="BD38" s="7"/>
      <c r="BE38" s="7"/>
      <c r="BF38" s="17"/>
      <c r="BG38" s="7"/>
    </row>
    <row r="39" spans="1:59" ht="75" x14ac:dyDescent="0.2">
      <c r="A39" s="8" t="s">
        <v>715</v>
      </c>
      <c r="B39" s="203" t="s">
        <v>655</v>
      </c>
      <c r="C39" s="7" t="s">
        <v>4</v>
      </c>
      <c r="D39" s="7"/>
      <c r="E39" s="7"/>
      <c r="F39" s="8" t="s">
        <v>656</v>
      </c>
      <c r="G39" s="221" t="s">
        <v>657</v>
      </c>
      <c r="H39" s="7" t="s">
        <v>601</v>
      </c>
      <c r="I39" s="7"/>
      <c r="J39" s="7"/>
      <c r="K39" s="7"/>
      <c r="L39" s="90">
        <v>45791</v>
      </c>
      <c r="M39" s="90" t="s">
        <v>716</v>
      </c>
      <c r="N39" s="90"/>
      <c r="O39" s="8" t="s">
        <v>659</v>
      </c>
      <c r="P39" s="7"/>
      <c r="Q39" s="7"/>
      <c r="R39" s="7"/>
      <c r="S39" s="7"/>
      <c r="T39" s="90"/>
      <c r="U39" s="90"/>
      <c r="V39" s="90"/>
      <c r="W39" s="90"/>
      <c r="X39" s="90"/>
      <c r="Y39" s="90"/>
      <c r="Z39" s="90"/>
      <c r="AA39" s="90"/>
      <c r="AB39" s="90"/>
      <c r="AC39" s="7"/>
      <c r="AD39" s="90"/>
      <c r="AE39" s="90"/>
      <c r="AF39" s="90"/>
      <c r="AG39" s="90"/>
      <c r="AH39" s="90"/>
      <c r="AI39" s="7"/>
      <c r="AJ39" s="90"/>
      <c r="AK39" s="90"/>
      <c r="AL39" s="90"/>
      <c r="AM39" s="90"/>
      <c r="AN39" s="7"/>
      <c r="AO39" s="55"/>
      <c r="AP39" s="90"/>
      <c r="AQ39" s="90"/>
      <c r="AR39" s="90"/>
      <c r="AS39" s="90"/>
      <c r="AT39" s="90"/>
      <c r="AU39" s="7"/>
      <c r="AV39" s="90"/>
      <c r="AW39" s="90"/>
      <c r="AX39" s="90"/>
      <c r="AY39" s="90"/>
      <c r="AZ39" s="90"/>
      <c r="BA39" s="90"/>
      <c r="BB39" s="90"/>
      <c r="BC39" s="90"/>
      <c r="BD39" s="7"/>
      <c r="BE39" s="7"/>
      <c r="BF39" s="17"/>
      <c r="BG39" s="7"/>
    </row>
    <row r="40" spans="1:59" ht="60" x14ac:dyDescent="0.2">
      <c r="A40" s="8" t="s">
        <v>708</v>
      </c>
      <c r="B40" s="10" t="s">
        <v>717</v>
      </c>
      <c r="C40" s="7" t="s">
        <v>4</v>
      </c>
      <c r="D40" s="7"/>
      <c r="E40" s="7"/>
      <c r="F40" s="7" t="s">
        <v>718</v>
      </c>
      <c r="G40" s="221" t="s">
        <v>719</v>
      </c>
      <c r="H40" s="7" t="s">
        <v>601</v>
      </c>
      <c r="I40" s="7"/>
      <c r="J40" s="7" t="s">
        <v>720</v>
      </c>
      <c r="K40" s="7"/>
      <c r="L40" s="90">
        <v>45805</v>
      </c>
      <c r="M40" s="90">
        <v>45819</v>
      </c>
      <c r="N40" s="90"/>
      <c r="O40" s="8" t="s">
        <v>721</v>
      </c>
      <c r="P40" s="7"/>
      <c r="Q40" s="7"/>
      <c r="R40" s="7"/>
      <c r="S40" s="7"/>
      <c r="T40" s="90"/>
      <c r="U40" s="90"/>
      <c r="V40" s="90"/>
      <c r="W40" s="90"/>
      <c r="X40" s="90"/>
      <c r="Y40" s="90"/>
      <c r="Z40" s="90"/>
      <c r="AA40" s="90"/>
      <c r="AB40" s="90"/>
      <c r="AC40" s="7"/>
      <c r="AD40" s="90"/>
      <c r="AE40" s="90"/>
      <c r="AF40" s="90"/>
      <c r="AG40" s="90"/>
      <c r="AH40" s="90"/>
      <c r="AI40" s="7"/>
      <c r="AJ40" s="90"/>
      <c r="AK40" s="90"/>
      <c r="AL40" s="90"/>
      <c r="AM40" s="90"/>
      <c r="AN40" s="7"/>
      <c r="AO40" s="55"/>
      <c r="AP40" s="90"/>
      <c r="AQ40" s="90"/>
      <c r="AR40" s="90"/>
      <c r="AS40" s="90"/>
      <c r="AT40" s="90"/>
      <c r="AU40" s="7"/>
      <c r="AV40" s="90"/>
      <c r="AW40" s="90"/>
      <c r="AX40" s="90"/>
      <c r="AY40" s="90"/>
      <c r="AZ40" s="90"/>
      <c r="BA40" s="90"/>
      <c r="BB40" s="90"/>
      <c r="BC40" s="90"/>
      <c r="BD40" s="7"/>
      <c r="BE40" s="7"/>
      <c r="BF40" s="17"/>
      <c r="BG40" s="7"/>
    </row>
  </sheetData>
  <autoFilter ref="A1:BG38" xr:uid="{039EB7AE-2E89-448B-A812-5FE13E2380A5}"/>
  <hyperlinks>
    <hyperlink ref="G7" r:id="rId1" xr:uid="{56F4641A-7A5B-45F5-8ABA-7AEBD3EA8584}"/>
    <hyperlink ref="G37" r:id="rId2" xr:uid="{71956939-6AF9-4A87-8BF2-3AD8D465CE4F}"/>
    <hyperlink ref="G38" r:id="rId3" xr:uid="{54A1C843-9BFD-49A4-BDBF-7B075CD23409}"/>
    <hyperlink ref="G4" r:id="rId4" xr:uid="{2E9B75B2-BFD2-4B5E-96CB-3AE9D137BF4F}"/>
    <hyperlink ref="G8" r:id="rId5" xr:uid="{0B1FAA12-B198-4662-B7CD-AD1BB7C98F6C}"/>
    <hyperlink ref="G12" r:id="rId6" display="david.poole@weston-homes.com; " xr:uid="{89E775C0-F575-416E-A1E1-C0EB5F961083}"/>
    <hyperlink ref="G11" r:id="rId7" display="richard.norman@lichfields.uk" xr:uid="{089F2DB9-B000-453E-8BD6-CF3BA100D36D}"/>
    <hyperlink ref="G13" r:id="rId8" xr:uid="{251D109B-8975-4788-99FE-0D150641596D}"/>
    <hyperlink ref="G22" r:id="rId9" display="David.Jones@arplanning.co.uk" xr:uid="{F8DFE7BD-CBEF-4992-B007-998F65E37AEB}"/>
    <hyperlink ref="G16" r:id="rId10" xr:uid="{7EDCF9FB-C395-474C-9105-AB11CEC9BC62}"/>
    <hyperlink ref="G14" r:id="rId11" display="Andrew.Thompson2@magairports.com" xr:uid="{439D33C3-19AA-4FB1-9F08-78C2A6F80AED}"/>
    <hyperlink ref="G19" r:id="rId12" xr:uid="{78B81BEA-F0FA-48BC-98E4-C2DA1FEAA359}"/>
    <hyperlink ref="G18" r:id="rId13" xr:uid="{C0DECA22-C41A-4210-A8C5-E5293EB9D635}"/>
    <hyperlink ref="G20" r:id="rId14" xr:uid="{FDBFBEF2-AE3D-4BEF-A3D0-BFBB282EB006}"/>
    <hyperlink ref="G25" r:id="rId15" xr:uid="{D6553528-6BCF-4F77-A766-9EB976E943D6}"/>
    <hyperlink ref="G23" r:id="rId16" xr:uid="{D92C7254-CDB7-4511-9735-35F356D93D59}"/>
    <hyperlink ref="G24" r:id="rId17" xr:uid="{E540C69E-4573-47E9-BE47-52656F1DCE43}"/>
    <hyperlink ref="G27" r:id="rId18" xr:uid="{2E4B8ED7-1306-49FF-B2EB-1C361BB47C04}"/>
    <hyperlink ref="G30" r:id="rId19" xr:uid="{581B6355-8C2E-469D-9695-152D4C4B0274}"/>
    <hyperlink ref="G28" r:id="rId20" xr:uid="{8FB9F5A3-0EB0-44A6-A205-44B1252F3C7B}"/>
    <hyperlink ref="G29" r:id="rId21" xr:uid="{E1EECA86-8C7C-4139-BDC9-1F2247030A9F}"/>
    <hyperlink ref="G35" r:id="rId22" xr:uid="{D385B28D-5C5C-4C84-B583-C7F176E2CFA9}"/>
    <hyperlink ref="G34" r:id="rId23" xr:uid="{E2E19DDB-1EAE-45A9-9B30-62D5AB4CF4F3}"/>
    <hyperlink ref="G33" r:id="rId24" xr:uid="{524678D4-40FE-4F1C-8C7B-C8656619B530}"/>
    <hyperlink ref="G36" r:id="rId25" xr:uid="{CA7B1B46-1E0E-4DC5-A187-E6D9767C2578}"/>
    <hyperlink ref="G39" r:id="rId26" xr:uid="{27572DE1-90FB-46C6-BFD1-E3F12DDC7F4C}"/>
    <hyperlink ref="G40" r:id="rId27" xr:uid="{1300B7E2-64BC-486E-9224-EAC45E9414FF}"/>
  </hyperlinks>
  <pageMargins left="0.7" right="0.7" top="0.75" bottom="0.75" header="0.3" footer="0.3"/>
  <pageSetup paperSize="9" orientation="portrait" r:id="rId28"/>
  <legacyDrawing r:id="rId2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2801-4302-4463-96B1-CA30DC567E71}">
  <dimension ref="A1:BN113"/>
  <sheetViews>
    <sheetView tabSelected="1" zoomScale="85" zoomScaleNormal="85" workbookViewId="0">
      <pane xSplit="1" ySplit="1" topLeftCell="B2" activePane="bottomRight" state="frozen"/>
      <selection pane="topRight" activeCell="B1" sqref="B1"/>
      <selection pane="bottomLeft" activeCell="A2" sqref="A2"/>
      <selection pane="bottomRight" activeCell="B3" sqref="B3"/>
    </sheetView>
  </sheetViews>
  <sheetFormatPr baseColWidth="10" defaultColWidth="9.1640625" defaultRowHeight="13" x14ac:dyDescent="0.15"/>
  <cols>
    <col min="1" max="1" width="21.83203125" style="153" customWidth="1"/>
    <col min="2" max="2" width="17.33203125" style="153" customWidth="1"/>
    <col min="3" max="4" width="12.5" style="153" customWidth="1"/>
    <col min="5" max="5" width="9.1640625" style="153" customWidth="1"/>
    <col min="6" max="6" width="17.1640625" style="153" customWidth="1"/>
    <col min="7" max="7" width="15.5" style="153" customWidth="1"/>
    <col min="8" max="8" width="12.1640625" style="153" customWidth="1"/>
    <col min="9" max="9" width="14.33203125" style="153" customWidth="1"/>
    <col min="10" max="11" width="12.1640625" style="153" customWidth="1"/>
    <col min="12" max="12" width="18.1640625" style="177" bestFit="1" customWidth="1"/>
    <col min="13" max="13" width="18.1640625" style="178" bestFit="1" customWidth="1"/>
    <col min="14" max="14" width="18.1640625" style="177" bestFit="1" customWidth="1"/>
    <col min="15" max="15" width="19.5" style="153" customWidth="1"/>
    <col min="16" max="16" width="13.5" style="153" customWidth="1"/>
    <col min="17" max="17" width="15" style="153" customWidth="1"/>
    <col min="18" max="18" width="9.83203125" style="153" customWidth="1"/>
    <col min="19" max="19" width="11.33203125" style="156" customWidth="1"/>
    <col min="20" max="20" width="18.1640625" style="177" bestFit="1" customWidth="1"/>
    <col min="21" max="21" width="10.5" style="177" hidden="1" customWidth="1"/>
    <col min="22" max="22" width="18.1640625" style="177" bestFit="1" customWidth="1"/>
    <col min="23" max="23" width="11.1640625" style="177" hidden="1" customWidth="1"/>
    <col min="24" max="25" width="18.1640625" style="177" bestFit="1" customWidth="1"/>
    <col min="26" max="26" width="22.1640625" style="177" customWidth="1"/>
    <col min="27" max="27" width="20.1640625" style="218" bestFit="1" customWidth="1"/>
    <col min="28" max="28" width="19" style="177" customWidth="1"/>
    <col min="29" max="29" width="9.1640625" style="153"/>
    <col min="30" max="30" width="19.5" style="177" customWidth="1"/>
    <col min="31" max="32" width="18.1640625" style="177" bestFit="1" customWidth="1"/>
    <col min="33" max="33" width="11.33203125" style="177" bestFit="1" customWidth="1"/>
    <col min="34" max="34" width="17.5" style="177" bestFit="1" customWidth="1"/>
    <col min="35" max="35" width="18.5" style="153" customWidth="1"/>
    <col min="36" max="36" width="9.1640625" style="153"/>
    <col min="37" max="37" width="18.1640625" style="177" bestFit="1" customWidth="1"/>
    <col min="38" max="38" width="25.1640625" style="177" customWidth="1"/>
    <col min="39" max="40" width="18.1640625" style="177" bestFit="1" customWidth="1"/>
    <col min="41" max="41" width="14.1640625" style="177" customWidth="1"/>
    <col min="42" max="42" width="14.5" style="153" customWidth="1"/>
    <col min="43" max="43" width="18.1640625" style="177" customWidth="1"/>
    <col min="44" max="44" width="22.5" style="177" customWidth="1"/>
    <col min="45" max="45" width="19.5" style="177" customWidth="1"/>
    <col min="46" max="46" width="16.6640625" style="177" bestFit="1" customWidth="1"/>
    <col min="47" max="47" width="14.6640625" style="177" customWidth="1"/>
    <col min="48" max="48" width="24.5" style="177" customWidth="1"/>
    <col min="49" max="49" width="20.5" style="177" customWidth="1"/>
    <col min="50" max="50" width="14.5" style="177" customWidth="1"/>
    <col min="51" max="51" width="14.5" style="153" customWidth="1"/>
    <col min="52" max="52" width="9.1640625" style="177"/>
    <col min="53" max="53" width="20.1640625" style="177" bestFit="1" customWidth="1"/>
    <col min="54" max="54" width="15.5" style="177" customWidth="1"/>
    <col min="55" max="55" width="14" style="153" customWidth="1"/>
    <col min="56" max="56" width="18.1640625" style="177" bestFit="1" customWidth="1"/>
    <col min="57" max="57" width="14" style="153" customWidth="1"/>
    <col min="58" max="58" width="11.1640625" style="153" customWidth="1"/>
    <col min="59" max="59" width="19.1640625" style="153" customWidth="1"/>
    <col min="60" max="16384" width="9.1640625" style="153"/>
  </cols>
  <sheetData>
    <row r="1" spans="1:66" s="6" customFormat="1" ht="70" x14ac:dyDescent="0.2">
      <c r="A1" s="1" t="s">
        <v>11</v>
      </c>
      <c r="B1" s="1" t="s">
        <v>12</v>
      </c>
      <c r="C1" s="1" t="s">
        <v>13</v>
      </c>
      <c r="D1" s="1" t="s">
        <v>722</v>
      </c>
      <c r="E1" s="1" t="s">
        <v>15</v>
      </c>
      <c r="F1" s="1" t="s">
        <v>16</v>
      </c>
      <c r="G1" s="2" t="s">
        <v>17</v>
      </c>
      <c r="H1" s="2" t="s">
        <v>18</v>
      </c>
      <c r="I1" s="1" t="s">
        <v>197</v>
      </c>
      <c r="J1" s="2" t="s">
        <v>198</v>
      </c>
      <c r="K1" s="2" t="s">
        <v>199</v>
      </c>
      <c r="L1" s="167" t="s">
        <v>19</v>
      </c>
      <c r="M1" s="168" t="s">
        <v>200</v>
      </c>
      <c r="N1" s="167" t="s">
        <v>21</v>
      </c>
      <c r="O1" s="2" t="s">
        <v>22</v>
      </c>
      <c r="P1" s="2" t="s">
        <v>723</v>
      </c>
      <c r="Q1" s="2" t="s">
        <v>724</v>
      </c>
      <c r="R1" s="2" t="s">
        <v>24</v>
      </c>
      <c r="S1" s="2" t="s">
        <v>202</v>
      </c>
      <c r="T1" s="167" t="s">
        <v>203</v>
      </c>
      <c r="U1" s="167" t="s">
        <v>204</v>
      </c>
      <c r="V1" s="167" t="s">
        <v>205</v>
      </c>
      <c r="W1" s="167" t="s">
        <v>725</v>
      </c>
      <c r="X1" s="167" t="s">
        <v>207</v>
      </c>
      <c r="Y1" s="167" t="s">
        <v>208</v>
      </c>
      <c r="Z1" s="167" t="s">
        <v>209</v>
      </c>
      <c r="AA1" s="167" t="s">
        <v>726</v>
      </c>
      <c r="AB1" s="167" t="s">
        <v>211</v>
      </c>
      <c r="AC1" s="2" t="s">
        <v>212</v>
      </c>
      <c r="AD1" s="167" t="s">
        <v>213</v>
      </c>
      <c r="AE1" s="167" t="s">
        <v>214</v>
      </c>
      <c r="AF1" s="167" t="s">
        <v>215</v>
      </c>
      <c r="AG1" s="167" t="s">
        <v>216</v>
      </c>
      <c r="AH1" s="167" t="s">
        <v>727</v>
      </c>
      <c r="AI1" s="3" t="s">
        <v>217</v>
      </c>
      <c r="AJ1" s="2" t="s">
        <v>218</v>
      </c>
      <c r="AK1" s="167" t="s">
        <v>219</v>
      </c>
      <c r="AL1" s="167" t="s">
        <v>220</v>
      </c>
      <c r="AM1" s="187" t="s">
        <v>221</v>
      </c>
      <c r="AN1" s="187" t="s">
        <v>222</v>
      </c>
      <c r="AO1" s="187" t="s">
        <v>223</v>
      </c>
      <c r="AP1" s="49" t="s">
        <v>224</v>
      </c>
      <c r="AQ1" s="187" t="s">
        <v>225</v>
      </c>
      <c r="AR1" s="187" t="s">
        <v>226</v>
      </c>
      <c r="AS1" s="187" t="s">
        <v>227</v>
      </c>
      <c r="AT1" s="187" t="s">
        <v>229</v>
      </c>
      <c r="AU1" s="187" t="s">
        <v>230</v>
      </c>
      <c r="AV1" s="321" t="s">
        <v>231</v>
      </c>
      <c r="AW1" s="187" t="s">
        <v>232</v>
      </c>
      <c r="AX1" s="187" t="s">
        <v>233</v>
      </c>
      <c r="AY1" s="322" t="s">
        <v>728</v>
      </c>
      <c r="AZ1" s="321" t="s">
        <v>235</v>
      </c>
      <c r="BA1" s="187" t="s">
        <v>729</v>
      </c>
      <c r="BB1" s="187" t="s">
        <v>730</v>
      </c>
      <c r="BC1" s="3" t="s">
        <v>238</v>
      </c>
      <c r="BD1" s="189" t="s">
        <v>239</v>
      </c>
      <c r="BE1" s="4" t="s">
        <v>240</v>
      </c>
      <c r="BF1" s="16" t="s">
        <v>241</v>
      </c>
      <c r="BG1" s="3" t="s">
        <v>242</v>
      </c>
      <c r="BH1" s="136"/>
      <c r="BI1" s="136"/>
      <c r="BJ1" s="136"/>
      <c r="BK1" s="136"/>
      <c r="BL1" s="136"/>
      <c r="BM1" s="136"/>
      <c r="BN1" s="136"/>
    </row>
    <row r="2" spans="1:66" s="11" customFormat="1" ht="238" x14ac:dyDescent="0.2">
      <c r="A2" s="132" t="s">
        <v>731</v>
      </c>
      <c r="B2" s="33" t="s">
        <v>732</v>
      </c>
      <c r="C2" s="33" t="s">
        <v>9</v>
      </c>
      <c r="D2" s="33"/>
      <c r="E2" s="33"/>
      <c r="F2" s="33" t="s">
        <v>733</v>
      </c>
      <c r="G2" s="33" t="s">
        <v>734</v>
      </c>
      <c r="H2" s="33" t="s">
        <v>393</v>
      </c>
      <c r="I2" s="33"/>
      <c r="J2" s="33"/>
      <c r="K2" s="137">
        <v>578</v>
      </c>
      <c r="L2" s="169">
        <v>45363</v>
      </c>
      <c r="M2" s="170">
        <v>45377</v>
      </c>
      <c r="N2" s="169">
        <v>45377</v>
      </c>
      <c r="O2" s="33" t="s">
        <v>735</v>
      </c>
      <c r="P2" s="33" t="s">
        <v>736</v>
      </c>
      <c r="Q2" s="33"/>
      <c r="R2" s="33"/>
      <c r="S2" s="137">
        <v>578</v>
      </c>
      <c r="T2" s="169">
        <v>45386</v>
      </c>
      <c r="U2" s="169" t="s">
        <v>43</v>
      </c>
      <c r="V2" s="169">
        <v>45386</v>
      </c>
      <c r="W2" s="169" t="s">
        <v>43</v>
      </c>
      <c r="X2" s="169"/>
      <c r="Y2" s="169"/>
      <c r="Z2" s="169">
        <v>45386</v>
      </c>
      <c r="AA2" s="211">
        <v>45386</v>
      </c>
      <c r="AB2" s="169">
        <v>45393</v>
      </c>
      <c r="AC2" s="33"/>
      <c r="AD2" s="169">
        <v>45393</v>
      </c>
      <c r="AE2" s="169">
        <v>45393</v>
      </c>
      <c r="AF2" s="169">
        <v>45404</v>
      </c>
      <c r="AG2" s="169" t="s">
        <v>737</v>
      </c>
      <c r="AH2" s="169"/>
      <c r="AI2" s="33" t="s">
        <v>43</v>
      </c>
      <c r="AJ2" s="33" t="s">
        <v>43</v>
      </c>
      <c r="AK2" s="169" t="s">
        <v>738</v>
      </c>
      <c r="AL2" s="169" t="s">
        <v>739</v>
      </c>
      <c r="AM2" s="169">
        <v>45397</v>
      </c>
      <c r="AN2" s="169">
        <v>45425</v>
      </c>
      <c r="AO2" s="169">
        <v>45406</v>
      </c>
      <c r="AP2" s="137">
        <v>507.57</v>
      </c>
      <c r="AQ2" s="169">
        <v>45425</v>
      </c>
      <c r="AR2" s="169"/>
      <c r="AS2" s="169"/>
      <c r="AT2" s="169" t="s">
        <v>740</v>
      </c>
      <c r="AU2" s="169"/>
      <c r="AV2" s="169"/>
      <c r="AW2" s="169"/>
      <c r="AX2" s="169"/>
      <c r="AY2" s="33" t="s">
        <v>504</v>
      </c>
      <c r="AZ2" s="169"/>
      <c r="BA2" s="169">
        <f>AA2+56</f>
        <v>45442</v>
      </c>
      <c r="BB2" s="169"/>
      <c r="BC2" s="33" t="s">
        <v>741</v>
      </c>
      <c r="BD2" s="169">
        <v>45441</v>
      </c>
      <c r="BE2" s="33" t="s">
        <v>322</v>
      </c>
      <c r="BF2" s="140">
        <f>(BD2-AA2)/7</f>
        <v>7.8571428571428568</v>
      </c>
      <c r="BG2" s="33" t="s">
        <v>742</v>
      </c>
    </row>
    <row r="3" spans="1:66" s="141" customFormat="1" ht="70" x14ac:dyDescent="0.2">
      <c r="A3" s="132" t="s">
        <v>743</v>
      </c>
      <c r="B3" s="33" t="s">
        <v>744</v>
      </c>
      <c r="C3" s="33" t="s">
        <v>9</v>
      </c>
      <c r="D3" s="33"/>
      <c r="E3" s="33"/>
      <c r="F3" s="33" t="s">
        <v>745</v>
      </c>
      <c r="G3" s="33" t="s">
        <v>746</v>
      </c>
      <c r="H3" s="33" t="s">
        <v>393</v>
      </c>
      <c r="I3" s="33"/>
      <c r="J3" s="33"/>
      <c r="K3" s="137">
        <v>578</v>
      </c>
      <c r="L3" s="169">
        <v>45363</v>
      </c>
      <c r="M3" s="170">
        <v>45372</v>
      </c>
      <c r="N3" s="169">
        <v>45369</v>
      </c>
      <c r="O3" s="127" t="s">
        <v>747</v>
      </c>
      <c r="P3" s="33" t="s">
        <v>736</v>
      </c>
      <c r="Q3" s="33"/>
      <c r="R3" s="33"/>
      <c r="S3" s="137">
        <v>578</v>
      </c>
      <c r="T3" s="169">
        <v>45385</v>
      </c>
      <c r="U3" s="169" t="s">
        <v>43</v>
      </c>
      <c r="V3" s="169">
        <v>45385</v>
      </c>
      <c r="W3" s="169" t="s">
        <v>43</v>
      </c>
      <c r="X3" s="169"/>
      <c r="Y3" s="169"/>
      <c r="Z3" s="169">
        <v>45385</v>
      </c>
      <c r="AA3" s="211">
        <v>45385</v>
      </c>
      <c r="AB3" s="169">
        <v>45392</v>
      </c>
      <c r="AC3" s="33"/>
      <c r="AD3" s="169">
        <v>45392</v>
      </c>
      <c r="AE3" s="169">
        <v>45392</v>
      </c>
      <c r="AF3" s="169">
        <v>45392</v>
      </c>
      <c r="AG3" s="169" t="s">
        <v>748</v>
      </c>
      <c r="AH3" s="169"/>
      <c r="AI3" s="33" t="s">
        <v>43</v>
      </c>
      <c r="AJ3" s="33" t="s">
        <v>43</v>
      </c>
      <c r="AK3" s="169">
        <v>45392</v>
      </c>
      <c r="AL3" s="169">
        <v>45422</v>
      </c>
      <c r="AM3" s="169">
        <v>45397</v>
      </c>
      <c r="AN3" s="169">
        <v>45422</v>
      </c>
      <c r="AO3" s="169">
        <v>45406</v>
      </c>
      <c r="AP3" s="137">
        <v>464.15</v>
      </c>
      <c r="AQ3" s="169">
        <v>45422</v>
      </c>
      <c r="AR3" s="169" t="s">
        <v>749</v>
      </c>
      <c r="AS3" s="169"/>
      <c r="AT3" s="169" t="s">
        <v>750</v>
      </c>
      <c r="AU3" s="169"/>
      <c r="AV3" s="169"/>
      <c r="AW3" s="169"/>
      <c r="AX3" s="169"/>
      <c r="AY3" s="33" t="s">
        <v>504</v>
      </c>
      <c r="AZ3" s="169"/>
      <c r="BA3" s="169">
        <v>45448</v>
      </c>
      <c r="BB3" s="169"/>
      <c r="BC3" s="33" t="s">
        <v>253</v>
      </c>
      <c r="BD3" s="169">
        <v>45448</v>
      </c>
      <c r="BE3" s="33" t="s">
        <v>322</v>
      </c>
      <c r="BF3" s="140">
        <f>(BD3-AA3)/7</f>
        <v>9</v>
      </c>
      <c r="BG3" s="33" t="s">
        <v>751</v>
      </c>
    </row>
    <row r="4" spans="1:66" ht="168" x14ac:dyDescent="0.15">
      <c r="A4" s="132" t="s">
        <v>752</v>
      </c>
      <c r="B4" s="33" t="s">
        <v>753</v>
      </c>
      <c r="C4" s="33" t="s">
        <v>9</v>
      </c>
      <c r="D4" s="33"/>
      <c r="E4" s="33"/>
      <c r="F4" s="33" t="s">
        <v>754</v>
      </c>
      <c r="G4" s="33" t="s">
        <v>755</v>
      </c>
      <c r="H4" s="33"/>
      <c r="I4" s="33"/>
      <c r="J4" s="146"/>
      <c r="K4" s="137">
        <v>578</v>
      </c>
      <c r="L4" s="169">
        <v>45391</v>
      </c>
      <c r="M4" s="170">
        <v>45405</v>
      </c>
      <c r="N4" s="169">
        <v>45405</v>
      </c>
      <c r="O4" s="142" t="s">
        <v>756</v>
      </c>
      <c r="P4" s="33" t="s">
        <v>757</v>
      </c>
      <c r="Q4" s="33"/>
      <c r="R4" s="146"/>
      <c r="S4" s="137">
        <v>578</v>
      </c>
      <c r="T4" s="169">
        <v>45407</v>
      </c>
      <c r="U4" s="169" t="s">
        <v>758</v>
      </c>
      <c r="V4" s="169">
        <v>45407</v>
      </c>
      <c r="W4" s="169" t="s">
        <v>759</v>
      </c>
      <c r="X4" s="169">
        <v>45413</v>
      </c>
      <c r="Y4" s="169">
        <v>45435</v>
      </c>
      <c r="Z4" s="169">
        <v>45413</v>
      </c>
      <c r="AA4" s="211">
        <v>45414</v>
      </c>
      <c r="AB4" s="169">
        <v>45422</v>
      </c>
      <c r="AC4" s="146"/>
      <c r="AD4" s="169">
        <v>45419</v>
      </c>
      <c r="AE4" s="169">
        <v>45419</v>
      </c>
      <c r="AF4" s="184" t="s">
        <v>760</v>
      </c>
      <c r="AG4" s="169" t="s">
        <v>761</v>
      </c>
      <c r="AH4" s="169"/>
      <c r="AI4" s="146"/>
      <c r="AJ4" s="146"/>
      <c r="AK4" s="169">
        <v>45420</v>
      </c>
      <c r="AL4" s="169">
        <v>45448</v>
      </c>
      <c r="AM4" s="169">
        <v>45420</v>
      </c>
      <c r="AN4" s="169">
        <v>45448</v>
      </c>
      <c r="AO4" s="169" t="s">
        <v>43</v>
      </c>
      <c r="AP4" s="138" t="s">
        <v>43</v>
      </c>
      <c r="AQ4" s="169" t="s">
        <v>43</v>
      </c>
      <c r="AR4" s="169">
        <v>45449</v>
      </c>
      <c r="AS4" s="179"/>
      <c r="AT4" s="169" t="s">
        <v>762</v>
      </c>
      <c r="AU4" s="179"/>
      <c r="AV4" s="169" t="s">
        <v>43</v>
      </c>
      <c r="AW4" s="169" t="s">
        <v>43</v>
      </c>
      <c r="AX4" s="169" t="s">
        <v>43</v>
      </c>
      <c r="AY4" s="138" t="s">
        <v>504</v>
      </c>
      <c r="AZ4" s="169" t="s">
        <v>43</v>
      </c>
      <c r="BA4" s="169">
        <f>AA4+56</f>
        <v>45470</v>
      </c>
      <c r="BB4" s="169"/>
      <c r="BC4" s="149" t="s">
        <v>95</v>
      </c>
      <c r="BD4" s="169">
        <v>45464</v>
      </c>
      <c r="BE4" s="149" t="s">
        <v>258</v>
      </c>
      <c r="BF4" s="140">
        <f>(BD4-AA4)/7</f>
        <v>7.1428571428571432</v>
      </c>
      <c r="BG4" s="138" t="s">
        <v>763</v>
      </c>
    </row>
    <row r="5" spans="1:66" ht="126" x14ac:dyDescent="0.15">
      <c r="A5" s="132" t="s">
        <v>764</v>
      </c>
      <c r="B5" s="33" t="s">
        <v>765</v>
      </c>
      <c r="C5" s="33" t="s">
        <v>9</v>
      </c>
      <c r="D5" s="33"/>
      <c r="E5" s="146"/>
      <c r="F5" s="33" t="s">
        <v>766</v>
      </c>
      <c r="G5" s="33" t="s">
        <v>755</v>
      </c>
      <c r="H5" s="33" t="s">
        <v>393</v>
      </c>
      <c r="I5" s="146"/>
      <c r="J5" s="146"/>
      <c r="K5" s="137">
        <v>568</v>
      </c>
      <c r="L5" s="169">
        <v>45401</v>
      </c>
      <c r="M5" s="170">
        <v>45415</v>
      </c>
      <c r="N5" s="169">
        <v>45415</v>
      </c>
      <c r="O5" s="143" t="s">
        <v>767</v>
      </c>
      <c r="P5" s="33" t="s">
        <v>736</v>
      </c>
      <c r="Q5" s="33"/>
      <c r="R5" s="146"/>
      <c r="S5" s="137">
        <v>578</v>
      </c>
      <c r="T5" s="169">
        <v>45421</v>
      </c>
      <c r="U5" s="169" t="s">
        <v>758</v>
      </c>
      <c r="V5" s="169">
        <v>45421</v>
      </c>
      <c r="W5" s="169" t="s">
        <v>768</v>
      </c>
      <c r="X5" s="179"/>
      <c r="Y5" s="179"/>
      <c r="Z5" s="171">
        <v>45427</v>
      </c>
      <c r="AA5" s="211">
        <v>45427</v>
      </c>
      <c r="AB5" s="169">
        <v>45434</v>
      </c>
      <c r="AC5" s="146"/>
      <c r="AD5" s="169">
        <v>45428</v>
      </c>
      <c r="AE5" s="169">
        <v>45428</v>
      </c>
      <c r="AF5" s="184" t="s">
        <v>769</v>
      </c>
      <c r="AG5" s="169" t="s">
        <v>770</v>
      </c>
      <c r="AH5" s="169"/>
      <c r="AI5" s="149" t="s">
        <v>43</v>
      </c>
      <c r="AJ5" s="149" t="s">
        <v>43</v>
      </c>
      <c r="AK5" s="169">
        <v>45428</v>
      </c>
      <c r="AL5" s="169">
        <v>45457</v>
      </c>
      <c r="AM5" s="169" t="s">
        <v>771</v>
      </c>
      <c r="AN5" s="169" t="s">
        <v>772</v>
      </c>
      <c r="AO5" s="169" t="s">
        <v>43</v>
      </c>
      <c r="AP5" s="138" t="s">
        <v>43</v>
      </c>
      <c r="AQ5" s="169" t="s">
        <v>43</v>
      </c>
      <c r="AR5" s="169" t="s">
        <v>773</v>
      </c>
      <c r="AS5" s="179"/>
      <c r="AT5" s="169" t="s">
        <v>774</v>
      </c>
      <c r="AU5" s="179"/>
      <c r="AV5" s="179"/>
      <c r="AW5" s="179"/>
      <c r="AX5" s="179"/>
      <c r="AY5" s="138"/>
      <c r="AZ5" s="179"/>
      <c r="BA5" s="169">
        <f>AA5+56</f>
        <v>45483</v>
      </c>
      <c r="BB5" s="179"/>
      <c r="BC5" s="146"/>
      <c r="BD5" s="169" t="s">
        <v>775</v>
      </c>
      <c r="BE5" s="138" t="s">
        <v>43</v>
      </c>
      <c r="BF5" s="146"/>
      <c r="BG5" s="158" t="s">
        <v>776</v>
      </c>
    </row>
    <row r="6" spans="1:66" s="6" customFormat="1" ht="178.5" customHeight="1" x14ac:dyDescent="0.2">
      <c r="A6" s="132" t="s">
        <v>777</v>
      </c>
      <c r="B6" s="33" t="s">
        <v>778</v>
      </c>
      <c r="C6" s="33" t="s">
        <v>9</v>
      </c>
      <c r="D6" s="33"/>
      <c r="E6" s="33" t="s">
        <v>779</v>
      </c>
      <c r="F6" s="33" t="s">
        <v>780</v>
      </c>
      <c r="G6" s="33" t="s">
        <v>781</v>
      </c>
      <c r="H6" s="33" t="s">
        <v>782</v>
      </c>
      <c r="I6" s="33"/>
      <c r="J6" s="33"/>
      <c r="K6" s="144">
        <v>258</v>
      </c>
      <c r="L6" s="169"/>
      <c r="M6" s="170"/>
      <c r="N6" s="169">
        <v>45365</v>
      </c>
      <c r="O6" s="33" t="s">
        <v>783</v>
      </c>
      <c r="P6" s="127" t="s">
        <v>784</v>
      </c>
      <c r="Q6" s="127"/>
      <c r="R6" s="127"/>
      <c r="S6" s="137">
        <v>258</v>
      </c>
      <c r="T6" s="180" t="s">
        <v>785</v>
      </c>
      <c r="U6" s="180" t="s">
        <v>43</v>
      </c>
      <c r="V6" s="180" t="s">
        <v>786</v>
      </c>
      <c r="W6" s="180" t="s">
        <v>43</v>
      </c>
      <c r="X6" s="180">
        <v>45378</v>
      </c>
      <c r="Y6" s="180">
        <v>45401</v>
      </c>
      <c r="Z6" s="169">
        <v>45432</v>
      </c>
      <c r="AA6" s="212">
        <v>45432</v>
      </c>
      <c r="AB6" s="180">
        <v>45440</v>
      </c>
      <c r="AC6" s="127"/>
      <c r="AD6" s="180">
        <v>45440</v>
      </c>
      <c r="AE6" s="180">
        <v>45440</v>
      </c>
      <c r="AF6" s="185" t="s">
        <v>787</v>
      </c>
      <c r="AG6" s="180" t="s">
        <v>788</v>
      </c>
      <c r="AH6" s="180"/>
      <c r="AI6" s="133" t="s">
        <v>43</v>
      </c>
      <c r="AJ6" s="127" t="s">
        <v>43</v>
      </c>
      <c r="AK6" s="180">
        <v>45440</v>
      </c>
      <c r="AL6" s="180">
        <v>45469</v>
      </c>
      <c r="AM6" s="188">
        <v>45446</v>
      </c>
      <c r="AN6" s="188">
        <v>45469</v>
      </c>
      <c r="AO6" s="188">
        <v>45448</v>
      </c>
      <c r="AP6" s="134" t="s">
        <v>789</v>
      </c>
      <c r="AQ6" s="188">
        <v>45469</v>
      </c>
      <c r="AR6" s="188" t="s">
        <v>790</v>
      </c>
      <c r="AS6" s="188"/>
      <c r="AT6" s="188" t="s">
        <v>791</v>
      </c>
      <c r="AU6" s="188" t="s">
        <v>792</v>
      </c>
      <c r="AV6" s="188" t="s">
        <v>43</v>
      </c>
      <c r="AW6" s="188" t="s">
        <v>43</v>
      </c>
      <c r="AX6" s="188"/>
      <c r="AY6" s="138" t="s">
        <v>504</v>
      </c>
      <c r="AZ6" s="188" t="s">
        <v>43</v>
      </c>
      <c r="BA6" s="169">
        <v>45488</v>
      </c>
      <c r="BB6" s="188"/>
      <c r="BC6" s="133"/>
      <c r="BD6" s="188" t="s">
        <v>793</v>
      </c>
      <c r="BE6" s="138" t="s">
        <v>43</v>
      </c>
      <c r="BF6" s="145"/>
      <c r="BG6" s="133" t="s">
        <v>794</v>
      </c>
      <c r="BH6" s="136"/>
      <c r="BI6" s="136"/>
      <c r="BJ6" s="136"/>
      <c r="BK6" s="136"/>
      <c r="BL6" s="136"/>
      <c r="BM6" s="136"/>
      <c r="BN6" s="136"/>
    </row>
    <row r="7" spans="1:66" ht="182" x14ac:dyDescent="0.15">
      <c r="A7" s="132" t="s">
        <v>795</v>
      </c>
      <c r="B7" s="33" t="s">
        <v>796</v>
      </c>
      <c r="C7" s="33" t="s">
        <v>10</v>
      </c>
      <c r="D7" s="33"/>
      <c r="E7" s="146"/>
      <c r="F7" s="147" t="s">
        <v>797</v>
      </c>
      <c r="G7" s="148" t="s">
        <v>798</v>
      </c>
      <c r="H7" s="33" t="s">
        <v>393</v>
      </c>
      <c r="I7" s="149"/>
      <c r="J7" s="149"/>
      <c r="K7" s="150">
        <v>624</v>
      </c>
      <c r="L7" s="169">
        <v>45428</v>
      </c>
      <c r="M7" s="170">
        <v>45442</v>
      </c>
      <c r="N7" s="170">
        <v>45446</v>
      </c>
      <c r="O7" s="151" t="s">
        <v>799</v>
      </c>
      <c r="P7" s="33" t="s">
        <v>800</v>
      </c>
      <c r="Q7" s="33"/>
      <c r="R7" s="146"/>
      <c r="S7" s="137">
        <v>578</v>
      </c>
      <c r="T7" s="169">
        <v>45449</v>
      </c>
      <c r="U7" s="169" t="s">
        <v>43</v>
      </c>
      <c r="V7" s="169">
        <v>45449</v>
      </c>
      <c r="W7" s="169" t="s">
        <v>801</v>
      </c>
      <c r="X7" s="169" t="s">
        <v>802</v>
      </c>
      <c r="Y7" s="169" t="s">
        <v>803</v>
      </c>
      <c r="Z7" s="169">
        <v>45471</v>
      </c>
      <c r="AA7" s="211">
        <v>45476</v>
      </c>
      <c r="AB7" s="171">
        <v>45483</v>
      </c>
      <c r="AC7" s="146"/>
      <c r="AD7" s="171">
        <v>45483</v>
      </c>
      <c r="AE7" s="171">
        <v>45483</v>
      </c>
      <c r="AF7" s="170">
        <v>45456</v>
      </c>
      <c r="AG7" s="171" t="s">
        <v>43</v>
      </c>
      <c r="AH7" s="171"/>
      <c r="AI7" s="149" t="s">
        <v>43</v>
      </c>
      <c r="AJ7" s="149" t="s">
        <v>43</v>
      </c>
      <c r="AK7" s="171">
        <v>45483</v>
      </c>
      <c r="AL7" s="171">
        <v>45512</v>
      </c>
      <c r="AM7" s="179"/>
      <c r="AN7" s="179"/>
      <c r="AO7" s="169" t="s">
        <v>804</v>
      </c>
      <c r="AP7" s="152">
        <v>499.68</v>
      </c>
      <c r="AQ7" s="171">
        <v>45512</v>
      </c>
      <c r="AR7" s="179"/>
      <c r="AS7" s="179"/>
      <c r="AT7" s="169" t="s">
        <v>805</v>
      </c>
      <c r="AU7" s="179"/>
      <c r="AV7" s="179"/>
      <c r="AW7" s="179"/>
      <c r="AX7" s="179"/>
      <c r="AY7" s="138" t="s">
        <v>504</v>
      </c>
      <c r="AZ7" s="171" t="s">
        <v>43</v>
      </c>
      <c r="BA7" s="171">
        <v>45533</v>
      </c>
      <c r="BB7" s="179"/>
      <c r="BC7" s="146"/>
      <c r="BD7" s="171">
        <v>45519</v>
      </c>
      <c r="BE7" s="33" t="s">
        <v>322</v>
      </c>
      <c r="BF7" s="149">
        <f t="shared" ref="BF7:BF16" si="0">(BD7-AA7)/7</f>
        <v>6.1428571428571432</v>
      </c>
      <c r="BG7" s="33" t="s">
        <v>806</v>
      </c>
    </row>
    <row r="8" spans="1:66" ht="140" x14ac:dyDescent="0.15">
      <c r="A8" s="132" t="s">
        <v>807</v>
      </c>
      <c r="B8" s="33" t="s">
        <v>808</v>
      </c>
      <c r="C8" s="33" t="s">
        <v>9</v>
      </c>
      <c r="D8" s="33"/>
      <c r="E8" s="146"/>
      <c r="F8" s="33" t="s">
        <v>809</v>
      </c>
      <c r="G8" s="33" t="s">
        <v>755</v>
      </c>
      <c r="H8" s="33" t="s">
        <v>393</v>
      </c>
      <c r="I8" s="146"/>
      <c r="J8" s="146"/>
      <c r="K8" s="146"/>
      <c r="L8" s="169">
        <v>45412</v>
      </c>
      <c r="M8" s="170">
        <v>45426</v>
      </c>
      <c r="N8" s="169">
        <v>45426</v>
      </c>
      <c r="O8" s="33" t="s">
        <v>810</v>
      </c>
      <c r="P8" s="33" t="s">
        <v>123</v>
      </c>
      <c r="Q8" s="33"/>
      <c r="R8" s="146"/>
      <c r="S8" s="137">
        <v>578</v>
      </c>
      <c r="T8" s="169">
        <v>45450</v>
      </c>
      <c r="U8" s="179"/>
      <c r="V8" s="169">
        <v>45450</v>
      </c>
      <c r="W8" s="169" t="s">
        <v>811</v>
      </c>
      <c r="X8" s="169">
        <v>45457</v>
      </c>
      <c r="Y8" s="169">
        <v>45478</v>
      </c>
      <c r="Z8" s="169">
        <v>45467</v>
      </c>
      <c r="AA8" s="211">
        <v>45467</v>
      </c>
      <c r="AB8" s="169">
        <v>45474</v>
      </c>
      <c r="AC8" s="146"/>
      <c r="AD8" s="171">
        <v>45476</v>
      </c>
      <c r="AE8" s="171">
        <v>45476</v>
      </c>
      <c r="AF8" s="171">
        <v>45455</v>
      </c>
      <c r="AG8" s="171" t="s">
        <v>812</v>
      </c>
      <c r="AH8" s="171"/>
      <c r="AI8" s="149" t="s">
        <v>43</v>
      </c>
      <c r="AJ8" s="149" t="s">
        <v>43</v>
      </c>
      <c r="AK8" s="171">
        <v>45476</v>
      </c>
      <c r="AL8" s="183" t="s">
        <v>813</v>
      </c>
      <c r="AM8" s="179"/>
      <c r="AN8" s="179"/>
      <c r="AO8" s="171" t="s">
        <v>43</v>
      </c>
      <c r="AP8" s="149" t="s">
        <v>43</v>
      </c>
      <c r="AQ8" s="171" t="s">
        <v>43</v>
      </c>
      <c r="AR8" s="171">
        <v>45506</v>
      </c>
      <c r="AS8" s="179"/>
      <c r="AT8" s="169" t="s">
        <v>814</v>
      </c>
      <c r="AU8" s="179"/>
      <c r="AV8" s="179"/>
      <c r="AW8" s="179"/>
      <c r="AX8" s="179"/>
      <c r="AY8" s="138" t="s">
        <v>504</v>
      </c>
      <c r="AZ8" s="171" t="s">
        <v>43</v>
      </c>
      <c r="BA8" s="171">
        <v>45523</v>
      </c>
      <c r="BB8" s="179"/>
      <c r="BC8" s="146"/>
      <c r="BD8" s="171">
        <v>45523</v>
      </c>
      <c r="BE8" s="149" t="s">
        <v>322</v>
      </c>
      <c r="BF8" s="149">
        <f t="shared" si="0"/>
        <v>8</v>
      </c>
      <c r="BG8" s="33" t="s">
        <v>815</v>
      </c>
    </row>
    <row r="9" spans="1:66" ht="332" x14ac:dyDescent="0.15">
      <c r="A9" s="132" t="s">
        <v>816</v>
      </c>
      <c r="B9" s="33" t="s">
        <v>817</v>
      </c>
      <c r="C9" s="33" t="s">
        <v>9</v>
      </c>
      <c r="D9" s="33"/>
      <c r="E9" s="146"/>
      <c r="F9" s="33" t="s">
        <v>818</v>
      </c>
      <c r="G9" s="148" t="s">
        <v>819</v>
      </c>
      <c r="H9" s="146"/>
      <c r="I9" s="146"/>
      <c r="J9" s="146"/>
      <c r="K9" s="150">
        <v>578</v>
      </c>
      <c r="L9" s="170">
        <v>45450</v>
      </c>
      <c r="M9" s="170">
        <v>45464</v>
      </c>
      <c r="N9" s="170">
        <v>45463</v>
      </c>
      <c r="O9" s="33" t="s">
        <v>820</v>
      </c>
      <c r="P9" s="33" t="s">
        <v>757</v>
      </c>
      <c r="Q9" s="33"/>
      <c r="R9" s="146"/>
      <c r="S9" s="152">
        <v>578</v>
      </c>
      <c r="T9" s="169">
        <v>45469</v>
      </c>
      <c r="U9" s="171" t="s">
        <v>43</v>
      </c>
      <c r="V9" s="169">
        <v>45469</v>
      </c>
      <c r="W9" s="169" t="s">
        <v>821</v>
      </c>
      <c r="X9" s="171">
        <v>45470</v>
      </c>
      <c r="Y9" s="171">
        <v>45491</v>
      </c>
      <c r="Z9" s="181">
        <v>45471</v>
      </c>
      <c r="AA9" s="213">
        <v>45474</v>
      </c>
      <c r="AB9" s="183">
        <v>45481</v>
      </c>
      <c r="AC9" s="146"/>
      <c r="AD9" s="183">
        <v>45476</v>
      </c>
      <c r="AE9" s="183">
        <v>45476</v>
      </c>
      <c r="AF9" s="183">
        <v>45476</v>
      </c>
      <c r="AG9" s="186" t="s">
        <v>822</v>
      </c>
      <c r="AH9" s="186"/>
      <c r="AI9" s="149" t="s">
        <v>43</v>
      </c>
      <c r="AJ9" s="146"/>
      <c r="AK9" s="171">
        <v>45476</v>
      </c>
      <c r="AL9" s="171">
        <v>45505</v>
      </c>
      <c r="AM9" s="179"/>
      <c r="AN9" s="179"/>
      <c r="AO9" s="171" t="s">
        <v>43</v>
      </c>
      <c r="AP9" s="149" t="s">
        <v>43</v>
      </c>
      <c r="AQ9" s="171" t="s">
        <v>43</v>
      </c>
      <c r="AR9" s="171">
        <v>45509</v>
      </c>
      <c r="AS9" s="179"/>
      <c r="AT9" s="169" t="s">
        <v>823</v>
      </c>
      <c r="AU9" s="179"/>
      <c r="AV9" s="179"/>
      <c r="AW9" s="179"/>
      <c r="AX9" s="179"/>
      <c r="AY9" s="138" t="s">
        <v>504</v>
      </c>
      <c r="AZ9" s="171" t="s">
        <v>43</v>
      </c>
      <c r="BA9" s="171">
        <v>45531</v>
      </c>
      <c r="BB9" s="182">
        <v>45587</v>
      </c>
      <c r="BC9" s="146"/>
      <c r="BD9" s="171">
        <v>45526</v>
      </c>
      <c r="BE9" s="149" t="s">
        <v>322</v>
      </c>
      <c r="BF9" s="149">
        <f t="shared" si="0"/>
        <v>7.4285714285714288</v>
      </c>
      <c r="BG9" s="33" t="s">
        <v>824</v>
      </c>
    </row>
    <row r="10" spans="1:66" ht="84" x14ac:dyDescent="0.15">
      <c r="A10" s="132" t="s">
        <v>825</v>
      </c>
      <c r="B10" s="33" t="s">
        <v>826</v>
      </c>
      <c r="C10" s="33" t="s">
        <v>9</v>
      </c>
      <c r="D10" s="33"/>
      <c r="E10" s="146"/>
      <c r="F10" s="33" t="s">
        <v>827</v>
      </c>
      <c r="G10" s="148" t="s">
        <v>828</v>
      </c>
      <c r="H10" s="139" t="s">
        <v>393</v>
      </c>
      <c r="I10" s="146"/>
      <c r="J10" s="146"/>
      <c r="K10" s="150">
        <v>578</v>
      </c>
      <c r="L10" s="170">
        <v>45454</v>
      </c>
      <c r="M10" s="170">
        <v>45455</v>
      </c>
      <c r="N10" s="170">
        <v>45456</v>
      </c>
      <c r="O10" s="33" t="s">
        <v>829</v>
      </c>
      <c r="P10" s="33" t="s">
        <v>830</v>
      </c>
      <c r="Q10" s="33"/>
      <c r="R10" s="146"/>
      <c r="S10" s="137">
        <v>578</v>
      </c>
      <c r="T10" s="169">
        <v>45494</v>
      </c>
      <c r="U10" s="169" t="s">
        <v>43</v>
      </c>
      <c r="V10" s="169">
        <v>45464</v>
      </c>
      <c r="W10" s="169"/>
      <c r="X10" s="171" t="s">
        <v>43</v>
      </c>
      <c r="Y10" s="171" t="s">
        <v>43</v>
      </c>
      <c r="Z10" s="171">
        <v>45474</v>
      </c>
      <c r="AA10" s="213">
        <v>45474</v>
      </c>
      <c r="AB10" s="171">
        <v>45481</v>
      </c>
      <c r="AC10" s="146"/>
      <c r="AD10" s="171">
        <v>45481</v>
      </c>
      <c r="AE10" s="171">
        <v>45481</v>
      </c>
      <c r="AF10" s="171">
        <v>45470</v>
      </c>
      <c r="AG10" s="169" t="s">
        <v>831</v>
      </c>
      <c r="AH10" s="169"/>
      <c r="AI10" s="149" t="s">
        <v>43</v>
      </c>
      <c r="AJ10" s="146"/>
      <c r="AK10" s="171">
        <v>45481</v>
      </c>
      <c r="AL10" s="171">
        <v>45511</v>
      </c>
      <c r="AM10" s="179"/>
      <c r="AN10" s="179"/>
      <c r="AO10" s="207" t="s">
        <v>832</v>
      </c>
      <c r="AP10" s="152">
        <v>434.15</v>
      </c>
      <c r="AQ10" s="171">
        <v>45511</v>
      </c>
      <c r="AR10" s="179"/>
      <c r="AS10" s="179"/>
      <c r="AT10" s="169" t="s">
        <v>833</v>
      </c>
      <c r="AU10" s="179"/>
      <c r="AV10" s="179"/>
      <c r="AW10" s="179"/>
      <c r="AX10" s="179"/>
      <c r="AY10" s="138" t="s">
        <v>504</v>
      </c>
      <c r="AZ10" s="171" t="s">
        <v>43</v>
      </c>
      <c r="BA10" s="171">
        <v>45531</v>
      </c>
      <c r="BB10" s="179"/>
      <c r="BC10" s="146"/>
      <c r="BD10" s="171">
        <v>45531</v>
      </c>
      <c r="BE10" s="149" t="s">
        <v>258</v>
      </c>
      <c r="BF10" s="149">
        <f t="shared" si="0"/>
        <v>8.1428571428571423</v>
      </c>
      <c r="BG10" s="33" t="s">
        <v>834</v>
      </c>
    </row>
    <row r="11" spans="1:66" ht="84" x14ac:dyDescent="0.15">
      <c r="A11" s="132" t="s">
        <v>835</v>
      </c>
      <c r="B11" s="33" t="s">
        <v>836</v>
      </c>
      <c r="C11" s="33" t="s">
        <v>9</v>
      </c>
      <c r="D11" s="33"/>
      <c r="E11" s="146"/>
      <c r="F11" s="33" t="s">
        <v>837</v>
      </c>
      <c r="G11" s="148" t="s">
        <v>838</v>
      </c>
      <c r="H11" s="146"/>
      <c r="I11" s="146"/>
      <c r="J11" s="146"/>
      <c r="K11" s="146"/>
      <c r="L11" s="170">
        <v>45466</v>
      </c>
      <c r="M11" s="170">
        <v>45481</v>
      </c>
      <c r="N11" s="171">
        <v>45485</v>
      </c>
      <c r="O11" s="33" t="s">
        <v>839</v>
      </c>
      <c r="P11" s="33" t="s">
        <v>840</v>
      </c>
      <c r="Q11" s="33"/>
      <c r="R11" s="146"/>
      <c r="S11" s="150">
        <v>293</v>
      </c>
      <c r="T11" s="171">
        <v>45490</v>
      </c>
      <c r="U11" s="179"/>
      <c r="V11" s="171">
        <v>45490</v>
      </c>
      <c r="W11" s="179"/>
      <c r="X11" s="171" t="s">
        <v>267</v>
      </c>
      <c r="Y11" s="179"/>
      <c r="Z11" s="169">
        <v>45499</v>
      </c>
      <c r="AA11" s="211">
        <v>45499</v>
      </c>
      <c r="AB11" s="171">
        <v>45506</v>
      </c>
      <c r="AC11" s="146"/>
      <c r="AD11" s="171">
        <v>45505</v>
      </c>
      <c r="AE11" s="171">
        <v>45505</v>
      </c>
      <c r="AF11" s="171">
        <v>45495</v>
      </c>
      <c r="AG11" s="169" t="s">
        <v>841</v>
      </c>
      <c r="AH11" s="169"/>
      <c r="AI11" s="149" t="s">
        <v>43</v>
      </c>
      <c r="AJ11" s="149" t="s">
        <v>43</v>
      </c>
      <c r="AK11" s="171">
        <v>45509</v>
      </c>
      <c r="AL11" s="171">
        <v>45534</v>
      </c>
      <c r="AM11" s="171">
        <v>45506</v>
      </c>
      <c r="AN11" s="171">
        <v>45534</v>
      </c>
      <c r="AO11" s="171">
        <v>45511</v>
      </c>
      <c r="AP11" s="152">
        <v>507.57</v>
      </c>
      <c r="AQ11" s="171">
        <v>45534</v>
      </c>
      <c r="AR11" s="171">
        <v>45534</v>
      </c>
      <c r="AS11" s="179"/>
      <c r="AT11" s="169" t="s">
        <v>842</v>
      </c>
      <c r="AU11" s="179"/>
      <c r="AV11" s="179"/>
      <c r="AW11" s="179"/>
      <c r="AX11" s="179"/>
      <c r="AY11" s="149" t="s">
        <v>504</v>
      </c>
      <c r="AZ11" s="179"/>
      <c r="BA11" s="171">
        <v>45555</v>
      </c>
      <c r="BB11" s="179"/>
      <c r="BC11" s="146"/>
      <c r="BD11" s="171">
        <v>45552</v>
      </c>
      <c r="BE11" s="149" t="s">
        <v>258</v>
      </c>
      <c r="BF11" s="149">
        <f t="shared" si="0"/>
        <v>7.5714285714285712</v>
      </c>
      <c r="BG11" s="33" t="s">
        <v>843</v>
      </c>
    </row>
    <row r="12" spans="1:66" ht="70" x14ac:dyDescent="0.15">
      <c r="A12" s="132" t="s">
        <v>844</v>
      </c>
      <c r="B12" s="33" t="s">
        <v>845</v>
      </c>
      <c r="C12" s="33" t="s">
        <v>9</v>
      </c>
      <c r="D12" s="33"/>
      <c r="E12" s="146"/>
      <c r="F12" s="33" t="s">
        <v>846</v>
      </c>
      <c r="G12" s="148" t="s">
        <v>847</v>
      </c>
      <c r="H12" s="139" t="s">
        <v>393</v>
      </c>
      <c r="I12" s="146"/>
      <c r="J12" s="146"/>
      <c r="K12" s="146"/>
      <c r="L12" s="170">
        <v>45470</v>
      </c>
      <c r="M12" s="170">
        <v>45484</v>
      </c>
      <c r="N12" s="171">
        <v>45490</v>
      </c>
      <c r="O12" s="33" t="s">
        <v>848</v>
      </c>
      <c r="P12" s="33" t="s">
        <v>849</v>
      </c>
      <c r="Q12" s="33"/>
      <c r="R12" s="146"/>
      <c r="S12" s="150">
        <v>293</v>
      </c>
      <c r="T12" s="171">
        <v>45491</v>
      </c>
      <c r="U12" s="171"/>
      <c r="V12" s="171">
        <v>45491</v>
      </c>
      <c r="W12" s="179"/>
      <c r="X12" s="171">
        <v>45498</v>
      </c>
      <c r="Y12" s="171">
        <v>45519</v>
      </c>
      <c r="Z12" s="169">
        <v>45498</v>
      </c>
      <c r="AA12" s="211">
        <v>45499</v>
      </c>
      <c r="AB12" s="171">
        <v>45506</v>
      </c>
      <c r="AC12" s="146"/>
      <c r="AD12" s="171">
        <v>45506</v>
      </c>
      <c r="AE12" s="171">
        <v>45506</v>
      </c>
      <c r="AF12" s="171">
        <v>45497</v>
      </c>
      <c r="AG12" s="169" t="s">
        <v>850</v>
      </c>
      <c r="AH12" s="169"/>
      <c r="AI12" s="149" t="s">
        <v>43</v>
      </c>
      <c r="AJ12" s="149" t="s">
        <v>43</v>
      </c>
      <c r="AK12" s="171">
        <v>45509</v>
      </c>
      <c r="AL12" s="171">
        <v>45537</v>
      </c>
      <c r="AM12" s="183">
        <v>45506</v>
      </c>
      <c r="AN12" s="183">
        <v>45537</v>
      </c>
      <c r="AO12" s="171" t="s">
        <v>43</v>
      </c>
      <c r="AP12" s="149" t="s">
        <v>43</v>
      </c>
      <c r="AQ12" s="171" t="s">
        <v>43</v>
      </c>
      <c r="AR12" s="171">
        <v>45538</v>
      </c>
      <c r="AS12" s="179"/>
      <c r="AT12" s="169" t="s">
        <v>851</v>
      </c>
      <c r="AU12" s="179"/>
      <c r="AV12" s="179"/>
      <c r="AW12" s="179"/>
      <c r="AX12" s="179"/>
      <c r="AY12" s="149" t="s">
        <v>504</v>
      </c>
      <c r="AZ12" s="179"/>
      <c r="BA12" s="171">
        <v>45555</v>
      </c>
      <c r="BB12" s="179"/>
      <c r="BC12" s="146"/>
      <c r="BD12" s="171">
        <v>45553</v>
      </c>
      <c r="BE12" s="149" t="s">
        <v>258</v>
      </c>
      <c r="BF12" s="149">
        <f t="shared" si="0"/>
        <v>7.7142857142857144</v>
      </c>
      <c r="BG12" s="33" t="s">
        <v>852</v>
      </c>
    </row>
    <row r="13" spans="1:66" s="156" customFormat="1" ht="178.5" customHeight="1" x14ac:dyDescent="0.2">
      <c r="A13" s="132" t="s">
        <v>853</v>
      </c>
      <c r="B13" s="33" t="s">
        <v>854</v>
      </c>
      <c r="C13" s="33" t="s">
        <v>9</v>
      </c>
      <c r="D13" s="33"/>
      <c r="E13" s="149"/>
      <c r="F13" s="33" t="s">
        <v>855</v>
      </c>
      <c r="G13" s="33" t="s">
        <v>856</v>
      </c>
      <c r="H13" s="33" t="s">
        <v>393</v>
      </c>
      <c r="I13" s="149"/>
      <c r="J13" s="149"/>
      <c r="K13" s="150">
        <v>293</v>
      </c>
      <c r="L13" s="169">
        <v>45371</v>
      </c>
      <c r="M13" s="170" t="s">
        <v>857</v>
      </c>
      <c r="N13" s="171">
        <v>45477</v>
      </c>
      <c r="O13" s="142" t="s">
        <v>858</v>
      </c>
      <c r="P13" s="33" t="s">
        <v>859</v>
      </c>
      <c r="Q13" s="33"/>
      <c r="R13" s="149"/>
      <c r="S13" s="150">
        <v>293</v>
      </c>
      <c r="T13" s="171">
        <v>45484</v>
      </c>
      <c r="U13" s="171"/>
      <c r="V13" s="171">
        <v>45484</v>
      </c>
      <c r="W13" s="171"/>
      <c r="X13" s="171">
        <v>45485</v>
      </c>
      <c r="Y13" s="171">
        <v>45506</v>
      </c>
      <c r="Z13" s="169">
        <v>45498</v>
      </c>
      <c r="AA13" s="214">
        <v>45505</v>
      </c>
      <c r="AB13" s="171">
        <v>45512</v>
      </c>
      <c r="AC13" s="149"/>
      <c r="AD13" s="171">
        <v>45512</v>
      </c>
      <c r="AE13" s="171">
        <v>45512</v>
      </c>
      <c r="AF13" s="171">
        <v>45490</v>
      </c>
      <c r="AG13" s="169" t="s">
        <v>860</v>
      </c>
      <c r="AH13" s="169"/>
      <c r="AI13" s="149" t="s">
        <v>43</v>
      </c>
      <c r="AJ13" s="149"/>
      <c r="AK13" s="171">
        <v>39668</v>
      </c>
      <c r="AL13" s="171">
        <v>45541</v>
      </c>
      <c r="AM13" s="171">
        <v>45516</v>
      </c>
      <c r="AN13" s="171">
        <v>45541</v>
      </c>
      <c r="AO13" s="169" t="s">
        <v>861</v>
      </c>
      <c r="AP13" s="152">
        <v>507.57</v>
      </c>
      <c r="AQ13" s="171">
        <v>45541</v>
      </c>
      <c r="AR13" s="169" t="s">
        <v>862</v>
      </c>
      <c r="AS13" s="171"/>
      <c r="AT13" s="169" t="s">
        <v>863</v>
      </c>
      <c r="AU13" s="171"/>
      <c r="AV13" s="171" t="s">
        <v>43</v>
      </c>
      <c r="AW13" s="171" t="s">
        <v>43</v>
      </c>
      <c r="AX13" s="171" t="s">
        <v>43</v>
      </c>
      <c r="AY13" s="149" t="s">
        <v>504</v>
      </c>
      <c r="AZ13" s="171" t="s">
        <v>43</v>
      </c>
      <c r="BA13" s="171">
        <v>45561</v>
      </c>
      <c r="BB13" s="171"/>
      <c r="BC13" s="149" t="s">
        <v>628</v>
      </c>
      <c r="BD13" s="171">
        <v>45559</v>
      </c>
      <c r="BE13" s="149" t="s">
        <v>258</v>
      </c>
      <c r="BF13" s="149">
        <f t="shared" si="0"/>
        <v>7.7142857142857144</v>
      </c>
      <c r="BG13" s="33" t="s">
        <v>864</v>
      </c>
    </row>
    <row r="14" spans="1:66" ht="72.75" customHeight="1" x14ac:dyDescent="0.15">
      <c r="A14" s="132" t="s">
        <v>865</v>
      </c>
      <c r="B14" s="33" t="s">
        <v>866</v>
      </c>
      <c r="C14" s="33" t="s">
        <v>10</v>
      </c>
      <c r="D14" s="33"/>
      <c r="E14" s="146"/>
      <c r="F14" s="33" t="s">
        <v>867</v>
      </c>
      <c r="G14" s="148" t="s">
        <v>798</v>
      </c>
      <c r="H14" s="139" t="s">
        <v>393</v>
      </c>
      <c r="I14" s="190"/>
      <c r="J14" s="190"/>
      <c r="K14" s="150">
        <v>578</v>
      </c>
      <c r="L14" s="170">
        <v>45446</v>
      </c>
      <c r="M14" s="170">
        <v>45455</v>
      </c>
      <c r="N14" s="170">
        <v>45457</v>
      </c>
      <c r="O14" s="33" t="s">
        <v>868</v>
      </c>
      <c r="P14" s="33" t="s">
        <v>869</v>
      </c>
      <c r="Q14" s="33"/>
      <c r="R14" s="146"/>
      <c r="S14" s="137">
        <v>578</v>
      </c>
      <c r="T14" s="169">
        <v>45463</v>
      </c>
      <c r="U14" s="169" t="s">
        <v>43</v>
      </c>
      <c r="V14" s="169">
        <v>45463</v>
      </c>
      <c r="W14" s="169" t="s">
        <v>870</v>
      </c>
      <c r="X14" s="171">
        <v>45470</v>
      </c>
      <c r="Y14" s="171">
        <v>45491</v>
      </c>
      <c r="Z14" s="171">
        <v>45464</v>
      </c>
      <c r="AA14" s="214">
        <v>45510</v>
      </c>
      <c r="AB14" s="171">
        <v>45517</v>
      </c>
      <c r="AC14" s="149"/>
      <c r="AD14" s="171">
        <v>45517</v>
      </c>
      <c r="AE14" s="183">
        <v>45517</v>
      </c>
      <c r="AF14" s="171">
        <v>45470</v>
      </c>
      <c r="AG14" s="171" t="s">
        <v>43</v>
      </c>
      <c r="AH14" s="171"/>
      <c r="AI14" s="149" t="s">
        <v>43</v>
      </c>
      <c r="AJ14" s="146"/>
      <c r="AK14" s="171">
        <v>45517</v>
      </c>
      <c r="AL14" s="171">
        <v>45546</v>
      </c>
      <c r="AM14" s="171">
        <v>45518</v>
      </c>
      <c r="AN14" s="171">
        <v>45546</v>
      </c>
      <c r="AO14" s="182" t="s">
        <v>43</v>
      </c>
      <c r="AP14" s="191" t="s">
        <v>43</v>
      </c>
      <c r="AQ14" s="182" t="s">
        <v>43</v>
      </c>
      <c r="AR14" s="171">
        <v>45546</v>
      </c>
      <c r="AS14" s="179"/>
      <c r="AT14" s="169" t="s">
        <v>871</v>
      </c>
      <c r="AU14" s="179"/>
      <c r="AV14" s="171" t="s">
        <v>43</v>
      </c>
      <c r="AW14" s="171" t="s">
        <v>43</v>
      </c>
      <c r="AX14" s="169" t="s">
        <v>872</v>
      </c>
      <c r="AY14" s="149" t="s">
        <v>504</v>
      </c>
      <c r="AZ14" s="171" t="s">
        <v>43</v>
      </c>
      <c r="BA14" s="171">
        <v>45566</v>
      </c>
      <c r="BB14" s="179"/>
      <c r="BC14" s="33" t="s">
        <v>873</v>
      </c>
      <c r="BD14" s="171">
        <v>45574</v>
      </c>
      <c r="BE14" s="149" t="s">
        <v>322</v>
      </c>
      <c r="BF14" s="149">
        <f t="shared" si="0"/>
        <v>9.1428571428571423</v>
      </c>
      <c r="BG14" s="33" t="s">
        <v>874</v>
      </c>
    </row>
    <row r="15" spans="1:66" s="156" customFormat="1" ht="110.25" customHeight="1" x14ac:dyDescent="0.2">
      <c r="A15" s="132" t="s">
        <v>875</v>
      </c>
      <c r="B15" s="33" t="s">
        <v>876</v>
      </c>
      <c r="C15" s="33" t="s">
        <v>10</v>
      </c>
      <c r="D15" s="33"/>
      <c r="E15" s="149"/>
      <c r="F15" s="33" t="s">
        <v>877</v>
      </c>
      <c r="G15" s="148" t="s">
        <v>798</v>
      </c>
      <c r="H15" s="33" t="s">
        <v>393</v>
      </c>
      <c r="I15" s="149"/>
      <c r="J15" s="149"/>
      <c r="K15" s="149"/>
      <c r="L15" s="171">
        <v>45470</v>
      </c>
      <c r="M15" s="183">
        <v>45481</v>
      </c>
      <c r="N15" s="171">
        <v>45481</v>
      </c>
      <c r="O15" s="142" t="s">
        <v>878</v>
      </c>
      <c r="P15" s="33" t="s">
        <v>869</v>
      </c>
      <c r="Q15" s="33"/>
      <c r="R15" s="149"/>
      <c r="S15" s="150">
        <v>578</v>
      </c>
      <c r="T15" s="171">
        <v>45485</v>
      </c>
      <c r="U15" s="171"/>
      <c r="V15" s="171">
        <v>45485</v>
      </c>
      <c r="W15" s="171"/>
      <c r="X15" s="169" t="s">
        <v>879</v>
      </c>
      <c r="Y15" s="171">
        <v>45511</v>
      </c>
      <c r="Z15" s="169">
        <v>45533</v>
      </c>
      <c r="AA15" s="214">
        <v>45533</v>
      </c>
      <c r="AB15" s="171">
        <v>45540</v>
      </c>
      <c r="AC15" s="149"/>
      <c r="AD15" s="171">
        <v>45540</v>
      </c>
      <c r="AE15" s="171">
        <v>45540</v>
      </c>
      <c r="AF15" s="171">
        <v>45491</v>
      </c>
      <c r="AG15" s="171" t="s">
        <v>43</v>
      </c>
      <c r="AH15" s="171"/>
      <c r="AI15" s="149" t="s">
        <v>43</v>
      </c>
      <c r="AJ15" s="149" t="s">
        <v>43</v>
      </c>
      <c r="AK15" s="171">
        <v>45540</v>
      </c>
      <c r="AL15" s="171">
        <v>45569</v>
      </c>
      <c r="AM15" s="171">
        <v>45541</v>
      </c>
      <c r="AN15" s="171">
        <v>45569</v>
      </c>
      <c r="AO15" s="171" t="s">
        <v>43</v>
      </c>
      <c r="AP15" s="149" t="s">
        <v>43</v>
      </c>
      <c r="AQ15" s="171"/>
      <c r="AR15" s="169" t="s">
        <v>880</v>
      </c>
      <c r="AS15" s="171"/>
      <c r="AT15" s="169" t="s">
        <v>881</v>
      </c>
      <c r="AU15" s="171"/>
      <c r="AV15" s="171" t="s">
        <v>43</v>
      </c>
      <c r="AW15" s="171" t="s">
        <v>43</v>
      </c>
      <c r="AX15" s="171" t="s">
        <v>882</v>
      </c>
      <c r="AY15" s="149" t="s">
        <v>504</v>
      </c>
      <c r="AZ15" s="171" t="s">
        <v>43</v>
      </c>
      <c r="BA15" s="171">
        <v>45589</v>
      </c>
      <c r="BB15" s="171"/>
      <c r="BC15" s="149"/>
      <c r="BD15" s="171">
        <v>45587</v>
      </c>
      <c r="BE15" s="149" t="s">
        <v>322</v>
      </c>
      <c r="BF15" s="149">
        <f t="shared" si="0"/>
        <v>7.7142857142857144</v>
      </c>
      <c r="BG15" s="33" t="s">
        <v>883</v>
      </c>
    </row>
    <row r="16" spans="1:66" ht="98" x14ac:dyDescent="0.15">
      <c r="A16" s="132" t="s">
        <v>884</v>
      </c>
      <c r="B16" s="33" t="s">
        <v>885</v>
      </c>
      <c r="C16" s="33" t="s">
        <v>9</v>
      </c>
      <c r="D16" s="33"/>
      <c r="E16" s="146"/>
      <c r="F16" s="33" t="s">
        <v>886</v>
      </c>
      <c r="G16" s="148" t="s">
        <v>887</v>
      </c>
      <c r="H16" s="139" t="s">
        <v>393</v>
      </c>
      <c r="I16" s="146"/>
      <c r="J16" s="146"/>
      <c r="K16" s="146"/>
      <c r="L16" s="170">
        <v>45445</v>
      </c>
      <c r="M16" s="171">
        <v>45460</v>
      </c>
      <c r="N16" s="171">
        <v>45531</v>
      </c>
      <c r="O16" s="190" t="s">
        <v>888</v>
      </c>
      <c r="P16" s="158" t="s">
        <v>889</v>
      </c>
      <c r="Q16" s="158"/>
      <c r="R16" s="146"/>
      <c r="S16" s="150">
        <v>578</v>
      </c>
      <c r="T16" s="171">
        <v>45534</v>
      </c>
      <c r="U16" s="171"/>
      <c r="V16" s="171">
        <v>45534</v>
      </c>
      <c r="W16" s="179"/>
      <c r="X16" s="171">
        <v>45539</v>
      </c>
      <c r="Y16" s="171">
        <v>45560</v>
      </c>
      <c r="Z16" s="171">
        <v>45540</v>
      </c>
      <c r="AA16" s="214">
        <v>45540</v>
      </c>
      <c r="AB16" s="171">
        <v>45547</v>
      </c>
      <c r="AC16" s="146"/>
      <c r="AD16" s="171">
        <v>45546</v>
      </c>
      <c r="AE16" s="171">
        <v>45546</v>
      </c>
      <c r="AF16" s="171">
        <v>45539</v>
      </c>
      <c r="AG16" s="169" t="s">
        <v>890</v>
      </c>
      <c r="AH16" s="169"/>
      <c r="AI16" s="149" t="s">
        <v>43</v>
      </c>
      <c r="AJ16" s="146"/>
      <c r="AK16" s="171">
        <v>45546</v>
      </c>
      <c r="AL16" s="171">
        <v>45575</v>
      </c>
      <c r="AM16" s="171">
        <v>45547</v>
      </c>
      <c r="AN16" s="171">
        <v>45575</v>
      </c>
      <c r="AO16" s="169" t="s">
        <v>891</v>
      </c>
      <c r="AP16" s="152">
        <v>507.57</v>
      </c>
      <c r="AQ16" s="171">
        <v>45575</v>
      </c>
      <c r="AR16" s="171">
        <v>45575</v>
      </c>
      <c r="AS16" s="179"/>
      <c r="AT16" s="169" t="s">
        <v>892</v>
      </c>
      <c r="AU16" s="179"/>
      <c r="AV16" s="171" t="s">
        <v>43</v>
      </c>
      <c r="AW16" s="171" t="s">
        <v>43</v>
      </c>
      <c r="AX16" s="171" t="s">
        <v>43</v>
      </c>
      <c r="AY16" s="149" t="s">
        <v>504</v>
      </c>
      <c r="AZ16" s="171" t="s">
        <v>43</v>
      </c>
      <c r="BA16" s="171">
        <v>45596</v>
      </c>
      <c r="BB16" s="179"/>
      <c r="BC16" s="146"/>
      <c r="BD16" s="171">
        <v>45589</v>
      </c>
      <c r="BE16" s="149" t="s">
        <v>258</v>
      </c>
      <c r="BF16" s="149">
        <f t="shared" si="0"/>
        <v>7</v>
      </c>
      <c r="BG16" s="33" t="s">
        <v>893</v>
      </c>
    </row>
    <row r="17" spans="1:59" ht="84" x14ac:dyDescent="0.15">
      <c r="A17" s="192" t="s">
        <v>708</v>
      </c>
      <c r="B17" s="33" t="s">
        <v>894</v>
      </c>
      <c r="C17" s="149" t="s">
        <v>9</v>
      </c>
      <c r="D17" s="33" t="s">
        <v>895</v>
      </c>
      <c r="E17" s="146"/>
      <c r="F17" s="149" t="s">
        <v>896</v>
      </c>
      <c r="G17" s="193" t="s">
        <v>819</v>
      </c>
      <c r="H17" s="146"/>
      <c r="I17" s="146"/>
      <c r="J17" s="146"/>
      <c r="K17" s="146"/>
      <c r="L17" s="171">
        <v>45559</v>
      </c>
      <c r="M17" s="183">
        <v>45573</v>
      </c>
      <c r="N17" s="179"/>
      <c r="O17" s="33" t="s">
        <v>897</v>
      </c>
      <c r="P17" s="194"/>
      <c r="Q17" s="194"/>
      <c r="R17" s="146"/>
      <c r="S17" s="149"/>
      <c r="T17" s="179"/>
      <c r="U17" s="179"/>
      <c r="V17" s="179"/>
      <c r="W17" s="179"/>
      <c r="X17" s="179"/>
      <c r="Y17" s="179"/>
      <c r="Z17" s="179"/>
      <c r="AA17" s="215"/>
      <c r="AB17" s="179"/>
      <c r="AC17" s="146"/>
      <c r="AD17" s="179"/>
      <c r="AE17" s="179"/>
      <c r="AF17" s="179"/>
      <c r="AG17" s="179"/>
      <c r="AH17" s="179"/>
      <c r="AI17" s="146"/>
      <c r="AJ17" s="146"/>
      <c r="AK17" s="179"/>
      <c r="AL17" s="179"/>
      <c r="AM17" s="179"/>
      <c r="AN17" s="179"/>
      <c r="AO17" s="179"/>
      <c r="AP17" s="146"/>
      <c r="AQ17" s="179"/>
      <c r="AR17" s="179"/>
      <c r="AS17" s="179"/>
      <c r="AT17" s="179"/>
      <c r="AU17" s="179"/>
      <c r="AV17" s="179"/>
      <c r="AW17" s="179"/>
      <c r="AX17" s="179"/>
      <c r="AY17" s="146"/>
      <c r="AZ17" s="179"/>
      <c r="BA17" s="179"/>
      <c r="BB17" s="171"/>
      <c r="BC17" s="146"/>
      <c r="BD17" s="179"/>
      <c r="BE17" s="146"/>
      <c r="BF17" s="146"/>
      <c r="BG17" s="158" t="s">
        <v>898</v>
      </c>
    </row>
    <row r="18" spans="1:59" ht="238" x14ac:dyDescent="0.15">
      <c r="A18" s="132" t="s">
        <v>899</v>
      </c>
      <c r="B18" s="33" t="s">
        <v>900</v>
      </c>
      <c r="C18" s="149" t="s">
        <v>9</v>
      </c>
      <c r="D18" s="33" t="s">
        <v>901</v>
      </c>
      <c r="E18" s="149"/>
      <c r="F18" s="197" t="s">
        <v>902</v>
      </c>
      <c r="G18" s="193" t="s">
        <v>903</v>
      </c>
      <c r="H18" s="149"/>
      <c r="I18" s="149"/>
      <c r="J18" s="149"/>
      <c r="K18" s="149"/>
      <c r="L18" s="171">
        <v>45540</v>
      </c>
      <c r="M18" s="183" t="s">
        <v>904</v>
      </c>
      <c r="N18" s="171">
        <v>45554</v>
      </c>
      <c r="O18" s="33" t="s">
        <v>905</v>
      </c>
      <c r="P18" s="149" t="s">
        <v>906</v>
      </c>
      <c r="Q18" s="149"/>
      <c r="R18" s="149"/>
      <c r="S18" s="150">
        <v>293</v>
      </c>
      <c r="T18" s="171">
        <v>45559</v>
      </c>
      <c r="U18" s="171"/>
      <c r="V18" s="171">
        <v>45559</v>
      </c>
      <c r="W18" s="171"/>
      <c r="X18" s="171"/>
      <c r="Y18" s="171"/>
      <c r="Z18" s="169">
        <v>45567</v>
      </c>
      <c r="AA18" s="211">
        <v>45567</v>
      </c>
      <c r="AB18" s="169">
        <v>45574</v>
      </c>
      <c r="AC18" s="149"/>
      <c r="AD18" s="169">
        <v>45569</v>
      </c>
      <c r="AE18" s="169">
        <v>45572</v>
      </c>
      <c r="AF18" s="169">
        <v>45572</v>
      </c>
      <c r="AG18" s="169" t="s">
        <v>907</v>
      </c>
      <c r="AH18" s="169"/>
      <c r="AI18" s="149" t="s">
        <v>43</v>
      </c>
      <c r="AJ18" s="149"/>
      <c r="AK18" s="169">
        <v>45572</v>
      </c>
      <c r="AL18" s="170" t="s">
        <v>43</v>
      </c>
      <c r="AM18" s="169"/>
      <c r="AN18" s="169">
        <v>45600</v>
      </c>
      <c r="AO18" s="171" t="s">
        <v>43</v>
      </c>
      <c r="AP18" s="149" t="s">
        <v>43</v>
      </c>
      <c r="AQ18" s="171" t="s">
        <v>43</v>
      </c>
      <c r="AR18" s="171"/>
      <c r="AS18" s="171"/>
      <c r="AT18" s="169" t="s">
        <v>908</v>
      </c>
      <c r="AU18" s="171"/>
      <c r="AV18" s="171"/>
      <c r="AW18" s="171"/>
      <c r="AX18" s="171"/>
      <c r="AY18" s="149" t="s">
        <v>677</v>
      </c>
      <c r="AZ18" s="171" t="s">
        <v>43</v>
      </c>
      <c r="BA18" s="171">
        <v>45623</v>
      </c>
      <c r="BB18" s="171"/>
      <c r="BC18" s="149"/>
      <c r="BD18" s="171">
        <v>45611</v>
      </c>
      <c r="BE18" s="149" t="s">
        <v>258</v>
      </c>
      <c r="BF18" s="149">
        <f t="shared" ref="BF18:BF27" si="1">(BD18-AA18)/7</f>
        <v>6.2857142857142856</v>
      </c>
      <c r="BG18" s="33" t="s">
        <v>909</v>
      </c>
    </row>
    <row r="19" spans="1:59" s="156" customFormat="1" ht="102" customHeight="1" x14ac:dyDescent="0.2">
      <c r="A19" s="132" t="s">
        <v>910</v>
      </c>
      <c r="B19" s="33" t="s">
        <v>817</v>
      </c>
      <c r="C19" s="149" t="s">
        <v>9</v>
      </c>
      <c r="D19" s="149" t="s">
        <v>911</v>
      </c>
      <c r="E19" s="149"/>
      <c r="F19" s="149" t="s">
        <v>818</v>
      </c>
      <c r="G19" s="193" t="s">
        <v>819</v>
      </c>
      <c r="H19" s="149" t="s">
        <v>912</v>
      </c>
      <c r="I19" s="149"/>
      <c r="J19" s="149"/>
      <c r="K19" s="149"/>
      <c r="L19" s="171">
        <v>45531</v>
      </c>
      <c r="M19" s="183">
        <v>45545</v>
      </c>
      <c r="N19" s="171">
        <v>45545</v>
      </c>
      <c r="O19" s="33" t="s">
        <v>913</v>
      </c>
      <c r="P19" s="158" t="s">
        <v>906</v>
      </c>
      <c r="Q19" s="158"/>
      <c r="R19" s="149"/>
      <c r="S19" s="150">
        <v>578</v>
      </c>
      <c r="T19" s="171">
        <v>45551</v>
      </c>
      <c r="U19" s="171"/>
      <c r="V19" s="171">
        <v>45551</v>
      </c>
      <c r="W19" s="171"/>
      <c r="X19" s="171" t="s">
        <v>43</v>
      </c>
      <c r="Y19" s="171" t="s">
        <v>43</v>
      </c>
      <c r="Z19" s="171">
        <v>45560</v>
      </c>
      <c r="AA19" s="214">
        <v>45560</v>
      </c>
      <c r="AB19" s="183" t="s">
        <v>914</v>
      </c>
      <c r="AC19" s="149"/>
      <c r="AD19" s="171">
        <v>45562</v>
      </c>
      <c r="AE19" s="171">
        <v>45565</v>
      </c>
      <c r="AF19" s="171">
        <v>45558</v>
      </c>
      <c r="AG19" s="169" t="s">
        <v>915</v>
      </c>
      <c r="AH19" s="169"/>
      <c r="AI19" s="149" t="s">
        <v>43</v>
      </c>
      <c r="AJ19" s="149"/>
      <c r="AK19" s="171">
        <v>45565</v>
      </c>
      <c r="AL19" s="171">
        <v>45593</v>
      </c>
      <c r="AM19" s="171">
        <v>45565</v>
      </c>
      <c r="AN19" s="171">
        <v>45593</v>
      </c>
      <c r="AO19" s="171" t="s">
        <v>43</v>
      </c>
      <c r="AP19" s="149" t="s">
        <v>43</v>
      </c>
      <c r="AQ19" s="171" t="s">
        <v>43</v>
      </c>
      <c r="AR19" s="171" t="s">
        <v>43</v>
      </c>
      <c r="AS19" s="171" t="s">
        <v>43</v>
      </c>
      <c r="AT19" s="169" t="s">
        <v>916</v>
      </c>
      <c r="AU19" s="171" t="s">
        <v>43</v>
      </c>
      <c r="AV19" s="171" t="s">
        <v>43</v>
      </c>
      <c r="AW19" s="171" t="s">
        <v>43</v>
      </c>
      <c r="AX19" s="171" t="s">
        <v>43</v>
      </c>
      <c r="AY19" s="149" t="s">
        <v>677</v>
      </c>
      <c r="AZ19" s="171" t="s">
        <v>43</v>
      </c>
      <c r="BA19" s="171">
        <v>45616</v>
      </c>
      <c r="BB19" s="171"/>
      <c r="BC19" s="149"/>
      <c r="BD19" s="171">
        <v>45614</v>
      </c>
      <c r="BE19" s="149" t="s">
        <v>258</v>
      </c>
      <c r="BF19" s="149">
        <f t="shared" si="1"/>
        <v>7.7142857142857144</v>
      </c>
      <c r="BG19" s="33" t="s">
        <v>917</v>
      </c>
    </row>
    <row r="20" spans="1:59" ht="70" x14ac:dyDescent="0.15">
      <c r="A20" s="132" t="s">
        <v>918</v>
      </c>
      <c r="B20" s="33" t="s">
        <v>919</v>
      </c>
      <c r="C20" s="149" t="s">
        <v>9</v>
      </c>
      <c r="D20" s="149" t="s">
        <v>666</v>
      </c>
      <c r="E20" s="146"/>
      <c r="F20" s="149" t="s">
        <v>920</v>
      </c>
      <c r="G20" s="193" t="s">
        <v>828</v>
      </c>
      <c r="H20" s="149" t="s">
        <v>912</v>
      </c>
      <c r="I20" s="146"/>
      <c r="J20" s="146"/>
      <c r="K20" s="150">
        <v>293</v>
      </c>
      <c r="L20" s="171">
        <v>45552</v>
      </c>
      <c r="M20" s="171">
        <v>45562</v>
      </c>
      <c r="N20" s="171">
        <v>45562</v>
      </c>
      <c r="O20" s="33" t="s">
        <v>921</v>
      </c>
      <c r="P20" s="149" t="s">
        <v>800</v>
      </c>
      <c r="Q20" s="149"/>
      <c r="R20" s="146"/>
      <c r="S20" s="150">
        <v>293</v>
      </c>
      <c r="T20" s="171">
        <v>45565</v>
      </c>
      <c r="U20" s="171"/>
      <c r="V20" s="171">
        <v>45565</v>
      </c>
      <c r="W20" s="179"/>
      <c r="X20" s="171">
        <v>45566</v>
      </c>
      <c r="Y20" s="171">
        <v>45587</v>
      </c>
      <c r="Z20" s="169">
        <v>45576</v>
      </c>
      <c r="AA20" s="214">
        <v>45588</v>
      </c>
      <c r="AB20" s="171">
        <v>45595</v>
      </c>
      <c r="AC20" s="146"/>
      <c r="AD20" s="171">
        <v>45590</v>
      </c>
      <c r="AE20" s="171">
        <v>45590</v>
      </c>
      <c r="AF20" s="171">
        <v>45587</v>
      </c>
      <c r="AG20" s="169" t="s">
        <v>922</v>
      </c>
      <c r="AH20" s="169"/>
      <c r="AI20" s="149" t="s">
        <v>43</v>
      </c>
      <c r="AJ20" s="149" t="s">
        <v>43</v>
      </c>
      <c r="AK20" s="171">
        <v>45590</v>
      </c>
      <c r="AL20" s="171">
        <v>45621</v>
      </c>
      <c r="AM20" s="171">
        <v>45595</v>
      </c>
      <c r="AN20" s="171">
        <v>45621</v>
      </c>
      <c r="AO20" s="169" t="s">
        <v>923</v>
      </c>
      <c r="AP20" s="152">
        <v>464.15</v>
      </c>
      <c r="AQ20" s="171">
        <v>45621</v>
      </c>
      <c r="AR20" s="171" t="s">
        <v>924</v>
      </c>
      <c r="AS20" s="179"/>
      <c r="AT20" s="169" t="s">
        <v>925</v>
      </c>
      <c r="AU20" s="179"/>
      <c r="AV20" s="179"/>
      <c r="AW20" s="179"/>
      <c r="AX20" s="171" t="s">
        <v>43</v>
      </c>
      <c r="AY20" s="149" t="s">
        <v>677</v>
      </c>
      <c r="AZ20" s="171" t="s">
        <v>43</v>
      </c>
      <c r="BA20" s="171">
        <v>45644</v>
      </c>
      <c r="BB20" s="179"/>
      <c r="BC20" s="146"/>
      <c r="BD20" s="171">
        <v>45644</v>
      </c>
      <c r="BE20" s="149" t="s">
        <v>258</v>
      </c>
      <c r="BF20" s="149">
        <f t="shared" si="1"/>
        <v>8</v>
      </c>
      <c r="BG20" s="33" t="s">
        <v>926</v>
      </c>
    </row>
    <row r="21" spans="1:59" ht="56" x14ac:dyDescent="0.15">
      <c r="A21" s="132" t="s">
        <v>927</v>
      </c>
      <c r="B21" s="33" t="s">
        <v>928</v>
      </c>
      <c r="C21" s="33" t="s">
        <v>9</v>
      </c>
      <c r="D21" s="199" t="s">
        <v>929</v>
      </c>
      <c r="E21" s="199"/>
      <c r="F21" s="33" t="s">
        <v>930</v>
      </c>
      <c r="G21" s="193" t="s">
        <v>931</v>
      </c>
      <c r="H21" s="199" t="s">
        <v>121</v>
      </c>
      <c r="I21" s="199"/>
      <c r="J21" s="199"/>
      <c r="K21" s="200"/>
      <c r="L21" s="169">
        <v>45567</v>
      </c>
      <c r="M21" s="170">
        <v>45568</v>
      </c>
      <c r="N21" s="170">
        <v>45572</v>
      </c>
      <c r="O21" s="199" t="s">
        <v>932</v>
      </c>
      <c r="P21" s="149" t="s">
        <v>933</v>
      </c>
      <c r="Q21" s="149"/>
      <c r="R21" s="146"/>
      <c r="S21" s="150">
        <v>1172</v>
      </c>
      <c r="T21" s="171">
        <v>45576</v>
      </c>
      <c r="U21" s="171"/>
      <c r="V21" s="171">
        <v>45576</v>
      </c>
      <c r="W21" s="179"/>
      <c r="X21" s="171">
        <v>45582</v>
      </c>
      <c r="Y21" s="171">
        <v>45572</v>
      </c>
      <c r="Z21" s="169">
        <v>45583</v>
      </c>
      <c r="AA21" s="214">
        <v>45593</v>
      </c>
      <c r="AB21" s="171">
        <v>45600</v>
      </c>
      <c r="AC21" s="146"/>
      <c r="AD21" s="171">
        <v>45597</v>
      </c>
      <c r="AE21" s="171">
        <v>45597</v>
      </c>
      <c r="AF21" s="171">
        <v>45582</v>
      </c>
      <c r="AG21" s="169" t="s">
        <v>934</v>
      </c>
      <c r="AH21" s="169"/>
      <c r="AI21" s="149" t="s">
        <v>43</v>
      </c>
      <c r="AJ21" s="149" t="s">
        <v>43</v>
      </c>
      <c r="AK21" s="171">
        <v>45597</v>
      </c>
      <c r="AL21" s="171">
        <v>45629</v>
      </c>
      <c r="AM21" s="171">
        <v>45600</v>
      </c>
      <c r="AN21" s="171">
        <v>45629</v>
      </c>
      <c r="AO21" s="169" t="s">
        <v>935</v>
      </c>
      <c r="AP21" s="152">
        <v>464.15</v>
      </c>
      <c r="AQ21" s="171">
        <v>45629</v>
      </c>
      <c r="AR21" s="171" t="s">
        <v>936</v>
      </c>
      <c r="AS21" s="179"/>
      <c r="AT21" s="171" t="s">
        <v>937</v>
      </c>
      <c r="AU21" s="179"/>
      <c r="AV21" s="171" t="s">
        <v>43</v>
      </c>
      <c r="AW21" s="171" t="s">
        <v>43</v>
      </c>
      <c r="AX21" s="171" t="s">
        <v>43</v>
      </c>
      <c r="AY21" s="149" t="s">
        <v>677</v>
      </c>
      <c r="AZ21" s="171" t="s">
        <v>43</v>
      </c>
      <c r="BA21" s="171">
        <f>SUM(AA21+7*8)</f>
        <v>45649</v>
      </c>
      <c r="BB21" s="179"/>
      <c r="BC21" s="146"/>
      <c r="BD21" s="171">
        <v>45646</v>
      </c>
      <c r="BE21" s="149" t="s">
        <v>258</v>
      </c>
      <c r="BF21" s="149">
        <f t="shared" si="1"/>
        <v>7.5714285714285712</v>
      </c>
      <c r="BG21" s="33" t="s">
        <v>938</v>
      </c>
    </row>
    <row r="22" spans="1:59" ht="70" x14ac:dyDescent="0.15">
      <c r="A22" s="132" t="s">
        <v>939</v>
      </c>
      <c r="B22" s="33" t="s">
        <v>940</v>
      </c>
      <c r="C22" s="33" t="s">
        <v>9</v>
      </c>
      <c r="D22" s="33" t="s">
        <v>895</v>
      </c>
      <c r="E22" s="33"/>
      <c r="F22" s="33" t="s">
        <v>941</v>
      </c>
      <c r="G22" s="193" t="s">
        <v>819</v>
      </c>
      <c r="H22" s="146"/>
      <c r="I22" s="146"/>
      <c r="J22" s="146"/>
      <c r="K22" s="150">
        <v>293</v>
      </c>
      <c r="L22" s="170">
        <v>45586</v>
      </c>
      <c r="M22" s="170">
        <v>45600</v>
      </c>
      <c r="N22" s="171">
        <v>45600</v>
      </c>
      <c r="O22" s="33" t="s">
        <v>942</v>
      </c>
      <c r="P22" s="142" t="s">
        <v>943</v>
      </c>
      <c r="Q22" s="142"/>
      <c r="R22" s="146"/>
      <c r="S22" s="150">
        <v>293</v>
      </c>
      <c r="T22" s="171">
        <v>45603</v>
      </c>
      <c r="U22" s="179"/>
      <c r="V22" s="171">
        <v>45603</v>
      </c>
      <c r="W22" s="179"/>
      <c r="X22" s="171">
        <v>45610</v>
      </c>
      <c r="Y22" s="179"/>
      <c r="Z22" s="169">
        <v>45614</v>
      </c>
      <c r="AA22" s="214">
        <v>45614</v>
      </c>
      <c r="AB22" s="171">
        <v>45621</v>
      </c>
      <c r="AC22" s="146"/>
      <c r="AD22" s="171">
        <v>45615</v>
      </c>
      <c r="AE22" s="171">
        <v>45615</v>
      </c>
      <c r="AF22" s="171">
        <v>45610</v>
      </c>
      <c r="AG22" s="169" t="s">
        <v>944</v>
      </c>
      <c r="AH22" s="169"/>
      <c r="AI22" s="146"/>
      <c r="AJ22" s="146"/>
      <c r="AK22" s="183">
        <v>45615</v>
      </c>
      <c r="AL22" s="183">
        <v>45644</v>
      </c>
      <c r="AM22" s="171">
        <v>45617</v>
      </c>
      <c r="AN22" s="171">
        <v>45644</v>
      </c>
      <c r="AO22" s="171" t="s">
        <v>43</v>
      </c>
      <c r="AP22" s="149" t="s">
        <v>43</v>
      </c>
      <c r="AQ22" s="171" t="s">
        <v>43</v>
      </c>
      <c r="AR22" s="171">
        <v>45645</v>
      </c>
      <c r="AS22" s="179"/>
      <c r="AT22" s="169" t="s">
        <v>945</v>
      </c>
      <c r="AU22" s="179"/>
      <c r="AV22" s="179"/>
      <c r="AW22" s="179"/>
      <c r="AX22" s="179"/>
      <c r="AY22" s="149" t="s">
        <v>677</v>
      </c>
      <c r="AZ22" s="171" t="s">
        <v>43</v>
      </c>
      <c r="BA22" s="171">
        <f>SUM(AA22+7*8)</f>
        <v>45670</v>
      </c>
      <c r="BB22" s="179"/>
      <c r="BC22" s="146"/>
      <c r="BD22" s="171">
        <v>45667</v>
      </c>
      <c r="BE22" s="149" t="s">
        <v>258</v>
      </c>
      <c r="BF22" s="149">
        <f t="shared" si="1"/>
        <v>7.5714285714285712</v>
      </c>
      <c r="BG22" s="33" t="s">
        <v>946</v>
      </c>
    </row>
    <row r="23" spans="1:59" s="156" customFormat="1" ht="76.5" customHeight="1" x14ac:dyDescent="0.2">
      <c r="A23" s="132" t="s">
        <v>947</v>
      </c>
      <c r="B23" s="33" t="s">
        <v>948</v>
      </c>
      <c r="C23" s="149" t="s">
        <v>10</v>
      </c>
      <c r="D23" s="33" t="s">
        <v>949</v>
      </c>
      <c r="E23" s="149"/>
      <c r="F23" s="149" t="s">
        <v>950</v>
      </c>
      <c r="G23" s="193" t="s">
        <v>951</v>
      </c>
      <c r="H23" s="149" t="s">
        <v>121</v>
      </c>
      <c r="I23" s="149"/>
      <c r="J23" s="149"/>
      <c r="K23" s="150"/>
      <c r="L23" s="171">
        <v>45517</v>
      </c>
      <c r="M23" s="183">
        <v>45534</v>
      </c>
      <c r="N23" s="171">
        <v>45537</v>
      </c>
      <c r="O23" s="33" t="s">
        <v>952</v>
      </c>
      <c r="P23" s="158" t="s">
        <v>800</v>
      </c>
      <c r="Q23" s="158"/>
      <c r="R23" s="149"/>
      <c r="S23" s="150">
        <v>2890</v>
      </c>
      <c r="T23" s="171">
        <v>45539</v>
      </c>
      <c r="U23" s="171"/>
      <c r="V23" s="171">
        <v>45539</v>
      </c>
      <c r="W23" s="171"/>
      <c r="X23" s="171">
        <v>45545</v>
      </c>
      <c r="Y23" s="171">
        <v>45566</v>
      </c>
      <c r="Z23" s="171">
        <v>45618</v>
      </c>
      <c r="AA23" s="214">
        <v>45618</v>
      </c>
      <c r="AB23" s="183">
        <v>45625</v>
      </c>
      <c r="AC23" s="149"/>
      <c r="AD23" s="171">
        <v>45622</v>
      </c>
      <c r="AE23" s="171">
        <v>45622</v>
      </c>
      <c r="AF23" s="171">
        <v>45545</v>
      </c>
      <c r="AG23" s="169" t="s">
        <v>43</v>
      </c>
      <c r="AH23" s="169"/>
      <c r="AI23" s="149" t="s">
        <v>43</v>
      </c>
      <c r="AJ23" s="149" t="s">
        <v>43</v>
      </c>
      <c r="AK23" s="171">
        <v>45622</v>
      </c>
      <c r="AL23" s="171">
        <v>45660</v>
      </c>
      <c r="AM23" s="171">
        <v>45623</v>
      </c>
      <c r="AN23" s="171">
        <v>45660</v>
      </c>
      <c r="AO23" s="171" t="s">
        <v>43</v>
      </c>
      <c r="AP23" s="149" t="s">
        <v>43</v>
      </c>
      <c r="AQ23" s="171" t="s">
        <v>43</v>
      </c>
      <c r="AR23" s="171" t="s">
        <v>953</v>
      </c>
      <c r="AS23" s="171"/>
      <c r="AT23" s="169" t="s">
        <v>954</v>
      </c>
      <c r="AU23" s="171"/>
      <c r="AV23" s="171"/>
      <c r="AW23" s="171"/>
      <c r="AX23" s="171"/>
      <c r="AY23" s="149" t="s">
        <v>677</v>
      </c>
      <c r="AZ23" s="171" t="s">
        <v>43</v>
      </c>
      <c r="BA23" s="171">
        <f>SUM(AA23+7*8)</f>
        <v>45674</v>
      </c>
      <c r="BB23" s="171"/>
      <c r="BC23" s="149"/>
      <c r="BD23" s="171">
        <v>45674</v>
      </c>
      <c r="BE23" s="149" t="s">
        <v>322</v>
      </c>
      <c r="BF23" s="149">
        <f t="shared" si="1"/>
        <v>8</v>
      </c>
      <c r="BG23" s="33" t="s">
        <v>955</v>
      </c>
    </row>
    <row r="24" spans="1:59" s="156" customFormat="1" ht="102" customHeight="1" x14ac:dyDescent="0.2">
      <c r="A24" s="132" t="s">
        <v>956</v>
      </c>
      <c r="B24" s="33" t="s">
        <v>808</v>
      </c>
      <c r="C24" s="149" t="s">
        <v>9</v>
      </c>
      <c r="D24" s="33" t="s">
        <v>957</v>
      </c>
      <c r="E24" s="149"/>
      <c r="F24" s="149" t="s">
        <v>809</v>
      </c>
      <c r="G24" s="193" t="s">
        <v>819</v>
      </c>
      <c r="H24" s="149" t="s">
        <v>958</v>
      </c>
      <c r="I24" s="149"/>
      <c r="J24" s="149"/>
      <c r="K24" s="150">
        <v>578</v>
      </c>
      <c r="L24" s="171">
        <v>45531</v>
      </c>
      <c r="M24" s="183">
        <v>45545</v>
      </c>
      <c r="N24" s="171">
        <v>45565</v>
      </c>
      <c r="O24" s="33" t="s">
        <v>959</v>
      </c>
      <c r="P24" s="149" t="s">
        <v>800</v>
      </c>
      <c r="Q24" s="149"/>
      <c r="R24" s="149"/>
      <c r="S24" s="150">
        <v>578</v>
      </c>
      <c r="T24" s="171">
        <v>45567</v>
      </c>
      <c r="U24" s="171"/>
      <c r="V24" s="171">
        <v>45567</v>
      </c>
      <c r="W24" s="171"/>
      <c r="X24" s="171">
        <v>45576</v>
      </c>
      <c r="Y24" s="171">
        <v>45597</v>
      </c>
      <c r="Z24" s="171">
        <v>45576</v>
      </c>
      <c r="AA24" s="214">
        <v>45579</v>
      </c>
      <c r="AB24" s="171">
        <v>45586</v>
      </c>
      <c r="AC24" s="149"/>
      <c r="AD24" s="171">
        <v>45582</v>
      </c>
      <c r="AE24" s="171">
        <v>45582</v>
      </c>
      <c r="AF24" s="171">
        <v>45583</v>
      </c>
      <c r="AG24" s="184" t="s">
        <v>960</v>
      </c>
      <c r="AH24" s="184"/>
      <c r="AI24" s="149" t="s">
        <v>43</v>
      </c>
      <c r="AJ24" s="149" t="s">
        <v>43</v>
      </c>
      <c r="AK24" s="171">
        <v>45583</v>
      </c>
      <c r="AL24" s="171">
        <v>45611</v>
      </c>
      <c r="AM24" s="171">
        <v>45583</v>
      </c>
      <c r="AN24" s="171">
        <v>45611</v>
      </c>
      <c r="AO24" s="171" t="s">
        <v>43</v>
      </c>
      <c r="AP24" s="149" t="s">
        <v>43</v>
      </c>
      <c r="AQ24" s="171" t="s">
        <v>43</v>
      </c>
      <c r="AR24" s="171" t="s">
        <v>961</v>
      </c>
      <c r="AS24" s="171"/>
      <c r="AT24" s="169" t="s">
        <v>962</v>
      </c>
      <c r="AU24" s="171"/>
      <c r="AV24" s="171" t="s">
        <v>43</v>
      </c>
      <c r="AW24" s="171" t="s">
        <v>43</v>
      </c>
      <c r="AX24" s="171" t="s">
        <v>43</v>
      </c>
      <c r="AY24" s="149" t="s">
        <v>677</v>
      </c>
      <c r="AZ24" s="171" t="s">
        <v>43</v>
      </c>
      <c r="BA24" s="171">
        <v>45635</v>
      </c>
      <c r="BB24" s="171"/>
      <c r="BC24" s="149"/>
      <c r="BD24" s="171">
        <v>45674</v>
      </c>
      <c r="BE24" s="149" t="s">
        <v>258</v>
      </c>
      <c r="BF24" s="149">
        <f t="shared" si="1"/>
        <v>13.571428571428571</v>
      </c>
      <c r="BG24" s="33" t="s">
        <v>963</v>
      </c>
    </row>
    <row r="25" spans="1:59" ht="306" x14ac:dyDescent="0.15">
      <c r="A25" s="132" t="s">
        <v>964</v>
      </c>
      <c r="B25" s="33" t="s">
        <v>965</v>
      </c>
      <c r="C25" s="149" t="s">
        <v>9</v>
      </c>
      <c r="D25" s="77" t="s">
        <v>966</v>
      </c>
      <c r="E25" s="146"/>
      <c r="F25" s="149" t="s">
        <v>967</v>
      </c>
      <c r="G25" s="193" t="s">
        <v>968</v>
      </c>
      <c r="H25" s="146"/>
      <c r="I25" s="146"/>
      <c r="J25" s="146"/>
      <c r="K25" s="146"/>
      <c r="L25" s="171">
        <v>45544</v>
      </c>
      <c r="M25" s="170" t="s">
        <v>969</v>
      </c>
      <c r="N25" s="171">
        <v>45575</v>
      </c>
      <c r="O25" s="33" t="s">
        <v>970</v>
      </c>
      <c r="P25" s="33" t="s">
        <v>971</v>
      </c>
      <c r="Q25" s="33"/>
      <c r="R25" s="146"/>
      <c r="S25" s="150">
        <v>578</v>
      </c>
      <c r="T25" s="171">
        <v>45583</v>
      </c>
      <c r="U25" s="171"/>
      <c r="V25" s="171">
        <v>45583</v>
      </c>
      <c r="W25" s="179"/>
      <c r="X25" s="171">
        <v>45588</v>
      </c>
      <c r="Y25" s="169" t="s">
        <v>972</v>
      </c>
      <c r="Z25" s="169">
        <v>45608</v>
      </c>
      <c r="AA25" s="214">
        <v>45608</v>
      </c>
      <c r="AB25" s="171">
        <v>45615</v>
      </c>
      <c r="AC25" s="146"/>
      <c r="AD25" s="171">
        <v>45611</v>
      </c>
      <c r="AE25" s="171">
        <v>45611</v>
      </c>
      <c r="AF25" s="171">
        <v>45586</v>
      </c>
      <c r="AG25" s="169" t="s">
        <v>973</v>
      </c>
      <c r="AH25" s="169"/>
      <c r="AI25" s="146"/>
      <c r="AJ25" s="146"/>
      <c r="AK25" s="171">
        <v>45611</v>
      </c>
      <c r="AL25" s="171">
        <v>45642</v>
      </c>
      <c r="AM25" s="171">
        <v>45614</v>
      </c>
      <c r="AN25" s="171">
        <v>45642</v>
      </c>
      <c r="AO25" s="169" t="s">
        <v>974</v>
      </c>
      <c r="AP25" s="152">
        <v>464.15</v>
      </c>
      <c r="AQ25" s="171">
        <v>45642</v>
      </c>
      <c r="AR25" s="171">
        <v>45645</v>
      </c>
      <c r="AS25" s="179"/>
      <c r="AT25" s="169" t="s">
        <v>975</v>
      </c>
      <c r="AU25" s="179"/>
      <c r="AV25" s="179"/>
      <c r="AW25" s="179"/>
      <c r="AX25" s="179"/>
      <c r="AY25" s="149" t="s">
        <v>677</v>
      </c>
      <c r="AZ25" s="171" t="s">
        <v>43</v>
      </c>
      <c r="BA25" s="171">
        <v>45664</v>
      </c>
      <c r="BB25" s="179"/>
      <c r="BC25" s="146"/>
      <c r="BD25" s="171">
        <v>45674</v>
      </c>
      <c r="BE25" s="149" t="s">
        <v>258</v>
      </c>
      <c r="BF25" s="149">
        <f t="shared" si="1"/>
        <v>9.4285714285714288</v>
      </c>
      <c r="BG25" s="158" t="s">
        <v>976</v>
      </c>
    </row>
    <row r="26" spans="1:59" s="156" customFormat="1" ht="153" customHeight="1" x14ac:dyDescent="0.2">
      <c r="A26" s="132" t="s">
        <v>977</v>
      </c>
      <c r="B26" s="33" t="s">
        <v>978</v>
      </c>
      <c r="C26" s="33" t="s">
        <v>9</v>
      </c>
      <c r="D26" s="33" t="s">
        <v>979</v>
      </c>
      <c r="E26" s="149"/>
      <c r="F26" s="33" t="s">
        <v>980</v>
      </c>
      <c r="G26" s="148" t="s">
        <v>981</v>
      </c>
      <c r="H26" s="149" t="s">
        <v>121</v>
      </c>
      <c r="I26" s="149"/>
      <c r="J26" s="149"/>
      <c r="K26" s="150">
        <v>2826.03</v>
      </c>
      <c r="L26" s="170">
        <v>45513</v>
      </c>
      <c r="M26" s="170">
        <v>45527</v>
      </c>
      <c r="N26" s="171">
        <v>45594</v>
      </c>
      <c r="O26" s="33" t="s">
        <v>982</v>
      </c>
      <c r="P26" s="149" t="s">
        <v>906</v>
      </c>
      <c r="Q26" s="149"/>
      <c r="R26" s="149"/>
      <c r="S26" s="152">
        <v>2890</v>
      </c>
      <c r="T26" s="171">
        <v>45600</v>
      </c>
      <c r="U26" s="171"/>
      <c r="V26" s="171">
        <v>45600</v>
      </c>
      <c r="W26" s="171"/>
      <c r="X26" s="171" t="s">
        <v>43</v>
      </c>
      <c r="Y26" s="171" t="s">
        <v>43</v>
      </c>
      <c r="Z26" s="169">
        <v>45608</v>
      </c>
      <c r="AA26" s="214">
        <v>45608</v>
      </c>
      <c r="AB26" s="171">
        <v>45615</v>
      </c>
      <c r="AC26" s="149"/>
      <c r="AD26" s="171">
        <v>45614</v>
      </c>
      <c r="AE26" s="171">
        <v>45614</v>
      </c>
      <c r="AF26" s="171">
        <v>45601</v>
      </c>
      <c r="AG26" s="205" t="s">
        <v>983</v>
      </c>
      <c r="AH26" s="208">
        <v>31185.97</v>
      </c>
      <c r="AI26" s="149"/>
      <c r="AJ26" s="149"/>
      <c r="AK26" s="171">
        <v>45614</v>
      </c>
      <c r="AL26" s="171">
        <v>45643</v>
      </c>
      <c r="AM26" s="171">
        <v>45615</v>
      </c>
      <c r="AN26" s="171">
        <v>45643</v>
      </c>
      <c r="AO26" s="171" t="s">
        <v>43</v>
      </c>
      <c r="AP26" s="149" t="s">
        <v>43</v>
      </c>
      <c r="AQ26" s="171" t="s">
        <v>43</v>
      </c>
      <c r="AR26" s="171">
        <v>45644</v>
      </c>
      <c r="AS26" s="169" t="s">
        <v>984</v>
      </c>
      <c r="AT26" s="169" t="s">
        <v>975</v>
      </c>
      <c r="AU26" s="171"/>
      <c r="AV26" s="171"/>
      <c r="AW26" s="171"/>
      <c r="AX26" s="171"/>
      <c r="AY26" s="149" t="s">
        <v>677</v>
      </c>
      <c r="AZ26" s="171" t="s">
        <v>43</v>
      </c>
      <c r="BA26" s="171">
        <v>45692</v>
      </c>
      <c r="BB26" s="171"/>
      <c r="BC26" s="206" t="s">
        <v>985</v>
      </c>
      <c r="BD26" s="171">
        <v>45688</v>
      </c>
      <c r="BE26" s="149" t="s">
        <v>258</v>
      </c>
      <c r="BF26" s="149">
        <f t="shared" si="1"/>
        <v>11.428571428571429</v>
      </c>
      <c r="BG26" s="33" t="s">
        <v>986</v>
      </c>
    </row>
    <row r="27" spans="1:59" ht="112" x14ac:dyDescent="0.15">
      <c r="A27" s="132" t="s">
        <v>987</v>
      </c>
      <c r="B27" s="33" t="s">
        <v>988</v>
      </c>
      <c r="C27" s="149" t="s">
        <v>9</v>
      </c>
      <c r="D27" s="41" t="s">
        <v>929</v>
      </c>
      <c r="E27" s="146"/>
      <c r="F27" s="41" t="s">
        <v>989</v>
      </c>
      <c r="G27" s="193" t="s">
        <v>931</v>
      </c>
      <c r="H27" s="33" t="s">
        <v>121</v>
      </c>
      <c r="I27" s="33"/>
      <c r="J27" s="33"/>
      <c r="K27" s="137">
        <v>1535</v>
      </c>
      <c r="L27" s="169">
        <v>45617</v>
      </c>
      <c r="M27" s="170">
        <v>45618</v>
      </c>
      <c r="N27" s="171">
        <v>45623</v>
      </c>
      <c r="O27" s="33" t="s">
        <v>990</v>
      </c>
      <c r="P27" s="33" t="s">
        <v>991</v>
      </c>
      <c r="Q27" s="33"/>
      <c r="R27" s="146"/>
      <c r="S27" s="152">
        <v>1465</v>
      </c>
      <c r="T27" s="171">
        <v>45625</v>
      </c>
      <c r="U27" s="171"/>
      <c r="V27" s="171">
        <v>45625</v>
      </c>
      <c r="W27" s="171"/>
      <c r="X27" s="171" t="s">
        <v>992</v>
      </c>
      <c r="Y27" s="171">
        <v>45646</v>
      </c>
      <c r="Z27" s="170">
        <v>45638</v>
      </c>
      <c r="AA27" s="214">
        <v>45638</v>
      </c>
      <c r="AB27" s="171">
        <v>45645</v>
      </c>
      <c r="AC27" s="146"/>
      <c r="AD27" s="171">
        <v>45643</v>
      </c>
      <c r="AE27" s="171">
        <v>45643</v>
      </c>
      <c r="AF27" s="171">
        <v>45635</v>
      </c>
      <c r="AG27" s="169" t="s">
        <v>993</v>
      </c>
      <c r="AH27" s="169"/>
      <c r="AI27" s="146"/>
      <c r="AJ27" s="146"/>
      <c r="AK27" s="171">
        <v>45643</v>
      </c>
      <c r="AL27" s="171">
        <v>45679</v>
      </c>
      <c r="AM27" s="171">
        <v>45644</v>
      </c>
      <c r="AN27" s="171">
        <v>45679</v>
      </c>
      <c r="AO27" s="169" t="s">
        <v>994</v>
      </c>
      <c r="AP27" s="152">
        <v>507.57</v>
      </c>
      <c r="AQ27" s="171">
        <v>45679</v>
      </c>
      <c r="AR27" s="171">
        <v>45679</v>
      </c>
      <c r="AS27" s="171" t="s">
        <v>43</v>
      </c>
      <c r="AT27" s="169" t="s">
        <v>995</v>
      </c>
      <c r="AU27" s="179"/>
      <c r="AV27" s="171" t="s">
        <v>43</v>
      </c>
      <c r="AW27" s="171" t="s">
        <v>43</v>
      </c>
      <c r="AX27" s="179"/>
      <c r="AY27" s="149" t="s">
        <v>677</v>
      </c>
      <c r="AZ27" s="171" t="s">
        <v>43</v>
      </c>
      <c r="BA27" s="171">
        <f>SUM(AA27+7*8)</f>
        <v>45694</v>
      </c>
      <c r="BB27" s="179"/>
      <c r="BC27" s="146"/>
      <c r="BD27" s="171">
        <v>45688</v>
      </c>
      <c r="BE27" s="149" t="s">
        <v>258</v>
      </c>
      <c r="BF27" s="149">
        <f t="shared" si="1"/>
        <v>7.1428571428571432</v>
      </c>
      <c r="BG27" s="33" t="s">
        <v>996</v>
      </c>
    </row>
    <row r="28" spans="1:59" ht="98" x14ac:dyDescent="0.15">
      <c r="A28" s="132" t="s">
        <v>997</v>
      </c>
      <c r="B28" s="33" t="s">
        <v>998</v>
      </c>
      <c r="C28" s="33" t="s">
        <v>9</v>
      </c>
      <c r="D28" s="33"/>
      <c r="E28" s="146"/>
      <c r="F28" s="33" t="s">
        <v>999</v>
      </c>
      <c r="G28" s="148" t="s">
        <v>1000</v>
      </c>
      <c r="H28" s="33" t="s">
        <v>393</v>
      </c>
      <c r="I28" s="146"/>
      <c r="J28" s="146"/>
      <c r="K28" s="146"/>
      <c r="L28" s="169">
        <v>45442</v>
      </c>
      <c r="M28" s="170">
        <v>45449</v>
      </c>
      <c r="N28" s="219">
        <v>45573</v>
      </c>
      <c r="O28" s="190" t="s">
        <v>1001</v>
      </c>
      <c r="P28" s="33" t="s">
        <v>1002</v>
      </c>
      <c r="Q28" s="33"/>
      <c r="R28" s="146"/>
      <c r="S28" s="150">
        <v>578</v>
      </c>
      <c r="T28" s="171">
        <v>45580</v>
      </c>
      <c r="U28" s="179"/>
      <c r="V28" s="171">
        <v>45580</v>
      </c>
      <c r="W28" s="179"/>
      <c r="X28" s="171">
        <v>45587</v>
      </c>
      <c r="Y28" s="169" t="s">
        <v>1003</v>
      </c>
      <c r="Z28" s="169" t="s">
        <v>1004</v>
      </c>
      <c r="AA28" s="220" t="s">
        <v>1005</v>
      </c>
      <c r="AB28" s="179"/>
      <c r="AC28" s="146"/>
      <c r="AD28" s="179"/>
      <c r="AE28" s="179"/>
      <c r="AF28" s="171">
        <v>45586</v>
      </c>
      <c r="AG28" s="184" t="s">
        <v>1006</v>
      </c>
      <c r="AH28" s="152">
        <v>36433.129999999997</v>
      </c>
      <c r="AI28" s="146"/>
      <c r="AJ28" s="146"/>
      <c r="AK28" s="179"/>
      <c r="AL28" s="179"/>
      <c r="AM28" s="179"/>
      <c r="AN28" s="179"/>
      <c r="AO28" s="179"/>
      <c r="AP28" s="146"/>
      <c r="AQ28" s="179"/>
      <c r="AR28" s="179"/>
      <c r="AS28" s="179"/>
      <c r="AT28" s="179"/>
      <c r="AU28" s="179"/>
      <c r="AV28" s="179"/>
      <c r="AW28" s="179"/>
      <c r="AX28" s="179"/>
      <c r="AY28" s="146"/>
      <c r="AZ28" s="179"/>
      <c r="BA28" s="171"/>
      <c r="BB28" s="179"/>
      <c r="BC28" s="146"/>
      <c r="BD28" s="179"/>
      <c r="BE28" s="149" t="s">
        <v>43</v>
      </c>
      <c r="BF28" s="146"/>
      <c r="BG28" s="33" t="s">
        <v>1007</v>
      </c>
    </row>
    <row r="29" spans="1:59" ht="70" x14ac:dyDescent="0.15">
      <c r="A29" s="132" t="s">
        <v>1008</v>
      </c>
      <c r="B29" s="33" t="s">
        <v>1009</v>
      </c>
      <c r="C29" s="149" t="s">
        <v>9</v>
      </c>
      <c r="D29" s="33" t="s">
        <v>1010</v>
      </c>
      <c r="E29" s="146"/>
      <c r="F29" s="33" t="s">
        <v>1011</v>
      </c>
      <c r="G29" s="193" t="s">
        <v>847</v>
      </c>
      <c r="H29" s="149" t="s">
        <v>121</v>
      </c>
      <c r="I29" s="146"/>
      <c r="J29" s="146"/>
      <c r="K29" s="146"/>
      <c r="L29" s="171">
        <v>45666</v>
      </c>
      <c r="M29" s="183" t="s">
        <v>1012</v>
      </c>
      <c r="N29" s="171">
        <v>45688</v>
      </c>
      <c r="O29" s="33" t="s">
        <v>1013</v>
      </c>
      <c r="P29" s="142" t="s">
        <v>757</v>
      </c>
      <c r="Q29" s="142"/>
      <c r="R29" s="146"/>
      <c r="S29" s="222">
        <v>258</v>
      </c>
      <c r="T29" s="171">
        <v>45692</v>
      </c>
      <c r="U29" s="171"/>
      <c r="V29" s="171">
        <v>45692</v>
      </c>
      <c r="W29" s="179"/>
      <c r="X29" s="171">
        <v>45694</v>
      </c>
      <c r="Y29" s="171">
        <v>45715</v>
      </c>
      <c r="Z29" s="171" t="s">
        <v>1014</v>
      </c>
      <c r="AA29" s="215"/>
      <c r="AB29" s="179"/>
      <c r="AC29" s="146"/>
      <c r="AD29" s="179"/>
      <c r="AE29" s="179"/>
      <c r="AF29" s="171">
        <v>45693</v>
      </c>
      <c r="AG29" s="169" t="s">
        <v>1015</v>
      </c>
      <c r="AH29" s="170" t="s">
        <v>43</v>
      </c>
      <c r="AI29" s="146"/>
      <c r="AJ29" s="146"/>
      <c r="AK29" s="179"/>
      <c r="AL29" s="179"/>
      <c r="AM29" s="179"/>
      <c r="AN29" s="179"/>
      <c r="AO29" s="171" t="s">
        <v>43</v>
      </c>
      <c r="AP29" s="149" t="s">
        <v>43</v>
      </c>
      <c r="AQ29" s="171" t="s">
        <v>43</v>
      </c>
      <c r="AR29" s="179"/>
      <c r="AS29" s="179"/>
      <c r="AT29" s="182"/>
      <c r="AU29" s="179"/>
      <c r="AV29" s="179"/>
      <c r="AW29" s="179"/>
      <c r="AX29" s="179"/>
      <c r="AY29" s="146"/>
      <c r="AZ29" s="179"/>
      <c r="BA29" s="171"/>
      <c r="BB29" s="179"/>
      <c r="BC29" s="146"/>
      <c r="BD29" s="179"/>
      <c r="BE29" s="149" t="s">
        <v>43</v>
      </c>
      <c r="BF29" s="146"/>
      <c r="BG29" s="33" t="s">
        <v>1016</v>
      </c>
    </row>
    <row r="30" spans="1:59" ht="71.25" customHeight="1" x14ac:dyDescent="0.15">
      <c r="A30" s="132" t="s">
        <v>1017</v>
      </c>
      <c r="B30" s="33" t="s">
        <v>1018</v>
      </c>
      <c r="C30" s="149" t="s">
        <v>10</v>
      </c>
      <c r="D30" s="33" t="s">
        <v>1019</v>
      </c>
      <c r="E30" s="33"/>
      <c r="F30" s="33" t="s">
        <v>1020</v>
      </c>
      <c r="G30" s="193" t="s">
        <v>1021</v>
      </c>
      <c r="H30" s="33" t="s">
        <v>912</v>
      </c>
      <c r="I30" s="146"/>
      <c r="J30" s="146"/>
      <c r="K30" s="137">
        <v>5202</v>
      </c>
      <c r="L30" s="171">
        <v>45646</v>
      </c>
      <c r="M30" s="183" t="s">
        <v>1022</v>
      </c>
      <c r="N30" s="171">
        <v>45663</v>
      </c>
      <c r="O30" s="33" t="s">
        <v>1023</v>
      </c>
      <c r="P30" s="149" t="s">
        <v>800</v>
      </c>
      <c r="Q30" s="149"/>
      <c r="R30" s="146"/>
      <c r="S30" s="152">
        <v>5202</v>
      </c>
      <c r="T30" s="171">
        <v>45671</v>
      </c>
      <c r="U30" s="171"/>
      <c r="V30" s="171">
        <v>45671</v>
      </c>
      <c r="W30" s="179"/>
      <c r="X30" s="171">
        <v>45672</v>
      </c>
      <c r="Y30" s="171">
        <v>45693</v>
      </c>
      <c r="Z30" s="169">
        <v>45672</v>
      </c>
      <c r="AA30" s="214">
        <v>45672</v>
      </c>
      <c r="AB30" s="171">
        <v>45679</v>
      </c>
      <c r="AC30" s="146"/>
      <c r="AD30" s="171">
        <v>45678</v>
      </c>
      <c r="AE30" s="171">
        <v>45678</v>
      </c>
      <c r="AF30" s="171">
        <v>45678</v>
      </c>
      <c r="AG30" s="171" t="s">
        <v>43</v>
      </c>
      <c r="AH30" s="183" t="s">
        <v>43</v>
      </c>
      <c r="AI30" s="146"/>
      <c r="AJ30" s="146"/>
      <c r="AK30" s="171">
        <v>45679</v>
      </c>
      <c r="AL30" s="171">
        <v>45708</v>
      </c>
      <c r="AM30" s="171">
        <v>45678</v>
      </c>
      <c r="AN30" s="171">
        <v>45708</v>
      </c>
      <c r="AO30" s="171" t="s">
        <v>43</v>
      </c>
      <c r="AP30" s="149" t="s">
        <v>43</v>
      </c>
      <c r="AQ30" s="171" t="s">
        <v>43</v>
      </c>
      <c r="AR30" s="171">
        <v>45708</v>
      </c>
      <c r="AS30" s="171" t="s">
        <v>43</v>
      </c>
      <c r="AT30" s="169" t="s">
        <v>1024</v>
      </c>
      <c r="AU30" s="179"/>
      <c r="AV30" s="171" t="s">
        <v>43</v>
      </c>
      <c r="AW30" s="171" t="s">
        <v>43</v>
      </c>
      <c r="AX30" s="171" t="s">
        <v>43</v>
      </c>
      <c r="AY30" s="149" t="s">
        <v>677</v>
      </c>
      <c r="AZ30" s="171" t="s">
        <v>43</v>
      </c>
      <c r="BA30" s="214">
        <f>SUM(AA30+7*8)</f>
        <v>45728</v>
      </c>
      <c r="BB30" s="179"/>
      <c r="BC30" s="146"/>
      <c r="BD30" s="171">
        <v>45728</v>
      </c>
      <c r="BE30" s="149" t="s">
        <v>322</v>
      </c>
      <c r="BF30" s="149">
        <f t="shared" ref="BF30:BF40" si="2">(BD30-AA30)/7</f>
        <v>8</v>
      </c>
      <c r="BG30" s="33" t="s">
        <v>1025</v>
      </c>
    </row>
    <row r="31" spans="1:59" ht="84" x14ac:dyDescent="0.15">
      <c r="A31" s="132" t="s">
        <v>1026</v>
      </c>
      <c r="B31" s="33" t="s">
        <v>1027</v>
      </c>
      <c r="C31" s="33" t="s">
        <v>9</v>
      </c>
      <c r="D31" s="146"/>
      <c r="E31" s="146"/>
      <c r="F31" s="33" t="s">
        <v>1028</v>
      </c>
      <c r="G31" s="193" t="s">
        <v>1029</v>
      </c>
      <c r="H31" s="146"/>
      <c r="I31" s="146"/>
      <c r="J31" s="146"/>
      <c r="K31" s="146"/>
      <c r="L31" s="171">
        <v>45589</v>
      </c>
      <c r="M31" s="183">
        <v>45603</v>
      </c>
      <c r="N31" s="171">
        <v>45600</v>
      </c>
      <c r="O31" s="33" t="s">
        <v>1030</v>
      </c>
      <c r="P31" s="142" t="s">
        <v>1002</v>
      </c>
      <c r="Q31" s="142"/>
      <c r="R31" s="146"/>
      <c r="S31" s="150">
        <v>578</v>
      </c>
      <c r="T31" s="171">
        <v>45604</v>
      </c>
      <c r="U31" s="171"/>
      <c r="V31" s="171">
        <v>45604</v>
      </c>
      <c r="W31" s="179"/>
      <c r="X31" s="171">
        <v>45607</v>
      </c>
      <c r="Y31" s="171">
        <v>45628</v>
      </c>
      <c r="Z31" s="169">
        <v>45614</v>
      </c>
      <c r="AA31" s="214">
        <v>45674</v>
      </c>
      <c r="AB31" s="171">
        <v>45681</v>
      </c>
      <c r="AC31" s="146"/>
      <c r="AD31" s="171">
        <v>45677</v>
      </c>
      <c r="AE31" s="171">
        <v>45677</v>
      </c>
      <c r="AF31" s="171">
        <v>45610</v>
      </c>
      <c r="AG31" s="184" t="s">
        <v>1031</v>
      </c>
      <c r="AH31" s="152">
        <v>36433.129999999997</v>
      </c>
      <c r="AI31" s="146"/>
      <c r="AJ31" s="146"/>
      <c r="AK31" s="171">
        <v>45677</v>
      </c>
      <c r="AL31" s="171">
        <v>45706</v>
      </c>
      <c r="AM31" s="171">
        <v>45678</v>
      </c>
      <c r="AN31" s="171">
        <v>45706</v>
      </c>
      <c r="AO31" s="171" t="s">
        <v>43</v>
      </c>
      <c r="AP31" s="149" t="s">
        <v>43</v>
      </c>
      <c r="AQ31" s="171" t="s">
        <v>43</v>
      </c>
      <c r="AR31" s="171">
        <v>45707</v>
      </c>
      <c r="AS31" s="171" t="s">
        <v>43</v>
      </c>
      <c r="AT31" s="169" t="s">
        <v>1032</v>
      </c>
      <c r="AU31" s="179"/>
      <c r="AV31" s="171" t="s">
        <v>43</v>
      </c>
      <c r="AW31" s="171" t="s">
        <v>43</v>
      </c>
      <c r="AX31" s="171" t="s">
        <v>1033</v>
      </c>
      <c r="AY31" s="149" t="s">
        <v>677</v>
      </c>
      <c r="AZ31" s="171" t="s">
        <v>43</v>
      </c>
      <c r="BA31" s="214">
        <f>SUM(AA31+7*8)</f>
        <v>45730</v>
      </c>
      <c r="BB31" s="179"/>
      <c r="BC31" s="149" t="s">
        <v>628</v>
      </c>
      <c r="BD31" s="171">
        <v>45729</v>
      </c>
      <c r="BE31" s="149" t="s">
        <v>322</v>
      </c>
      <c r="BF31" s="149">
        <f t="shared" si="2"/>
        <v>7.8571428571428568</v>
      </c>
      <c r="BG31" s="33" t="s">
        <v>1034</v>
      </c>
    </row>
    <row r="32" spans="1:59" ht="112" x14ac:dyDescent="0.15">
      <c r="A32" s="132" t="s">
        <v>1035</v>
      </c>
      <c r="B32" s="33" t="s">
        <v>1036</v>
      </c>
      <c r="C32" s="149" t="s">
        <v>9</v>
      </c>
      <c r="D32" s="33" t="s">
        <v>1037</v>
      </c>
      <c r="E32" s="146"/>
      <c r="F32" s="33" t="s">
        <v>1038</v>
      </c>
      <c r="G32" s="193" t="s">
        <v>819</v>
      </c>
      <c r="H32" s="149" t="s">
        <v>121</v>
      </c>
      <c r="I32" s="146"/>
      <c r="J32" s="146"/>
      <c r="K32" s="146"/>
      <c r="L32" s="171">
        <v>45646</v>
      </c>
      <c r="M32" s="183">
        <v>45667</v>
      </c>
      <c r="N32" s="171">
        <v>45695</v>
      </c>
      <c r="O32" s="33" t="s">
        <v>1039</v>
      </c>
      <c r="P32" s="149" t="s">
        <v>800</v>
      </c>
      <c r="Q32" s="149"/>
      <c r="R32" s="146"/>
      <c r="S32" s="152">
        <v>578</v>
      </c>
      <c r="T32" s="171">
        <v>45702</v>
      </c>
      <c r="U32" s="171"/>
      <c r="V32" s="171">
        <v>45702</v>
      </c>
      <c r="W32" s="179"/>
      <c r="X32" s="171">
        <v>45707</v>
      </c>
      <c r="Y32" s="171">
        <v>45728</v>
      </c>
      <c r="Z32" s="171">
        <v>45708</v>
      </c>
      <c r="AA32" s="214">
        <v>45708</v>
      </c>
      <c r="AB32" s="171">
        <v>45715</v>
      </c>
      <c r="AC32" s="146"/>
      <c r="AD32" s="171">
        <v>45714</v>
      </c>
      <c r="AE32" s="171">
        <v>45714</v>
      </c>
      <c r="AF32" s="171">
        <v>45707</v>
      </c>
      <c r="AG32" s="169" t="s">
        <v>1040</v>
      </c>
      <c r="AH32" s="247" t="s">
        <v>43</v>
      </c>
      <c r="AI32" s="191" t="s">
        <v>43</v>
      </c>
      <c r="AJ32" s="149" t="s">
        <v>43</v>
      </c>
      <c r="AK32" s="171">
        <v>45714</v>
      </c>
      <c r="AL32" s="171">
        <v>45743</v>
      </c>
      <c r="AM32" s="171">
        <v>45715</v>
      </c>
      <c r="AN32" s="171">
        <v>45743</v>
      </c>
      <c r="AO32" s="171" t="s">
        <v>43</v>
      </c>
      <c r="AP32" s="149" t="s">
        <v>43</v>
      </c>
      <c r="AQ32" s="171" t="s">
        <v>43</v>
      </c>
      <c r="AR32" s="171">
        <v>45747</v>
      </c>
      <c r="AS32" s="179"/>
      <c r="AT32" s="169" t="s">
        <v>1041</v>
      </c>
      <c r="AU32" s="179"/>
      <c r="AV32" s="179"/>
      <c r="AW32" s="179"/>
      <c r="AX32" s="179"/>
      <c r="AY32" s="149" t="s">
        <v>677</v>
      </c>
      <c r="AZ32" s="179"/>
      <c r="BA32" s="214">
        <f>SUM(AA32+7*8)</f>
        <v>45764</v>
      </c>
      <c r="BB32" s="179"/>
      <c r="BC32" s="146"/>
      <c r="BD32" s="171">
        <v>45749</v>
      </c>
      <c r="BE32" s="149" t="s">
        <v>258</v>
      </c>
      <c r="BF32" s="149">
        <f t="shared" si="2"/>
        <v>5.8571428571428568</v>
      </c>
      <c r="BG32" s="33" t="s">
        <v>1042</v>
      </c>
    </row>
    <row r="33" spans="1:59" ht="112" x14ac:dyDescent="0.15">
      <c r="A33" s="132" t="s">
        <v>1043</v>
      </c>
      <c r="B33" s="33" t="s">
        <v>1044</v>
      </c>
      <c r="C33" s="149" t="s">
        <v>9</v>
      </c>
      <c r="D33" s="33" t="s">
        <v>1045</v>
      </c>
      <c r="E33" s="146"/>
      <c r="F33" s="33" t="s">
        <v>1046</v>
      </c>
      <c r="G33" s="193" t="s">
        <v>1047</v>
      </c>
      <c r="H33" s="33" t="s">
        <v>1048</v>
      </c>
      <c r="I33" s="146"/>
      <c r="J33" s="146"/>
      <c r="K33" s="146"/>
      <c r="L33" s="171">
        <v>45688</v>
      </c>
      <c r="M33" s="183">
        <v>45688</v>
      </c>
      <c r="N33" s="250">
        <v>45688</v>
      </c>
      <c r="O33" s="33" t="s">
        <v>1049</v>
      </c>
      <c r="P33" s="251" t="s">
        <v>906</v>
      </c>
      <c r="Q33" s="252"/>
      <c r="R33" s="253"/>
      <c r="S33" s="152">
        <v>578</v>
      </c>
      <c r="T33" s="254">
        <v>45694</v>
      </c>
      <c r="U33" s="171"/>
      <c r="V33" s="171">
        <v>45694</v>
      </c>
      <c r="W33" s="179"/>
      <c r="X33" s="171">
        <v>45700</v>
      </c>
      <c r="Y33" s="171">
        <v>45721</v>
      </c>
      <c r="Z33" s="169">
        <v>45700</v>
      </c>
      <c r="AA33" s="214">
        <v>45706</v>
      </c>
      <c r="AB33" s="171">
        <v>45713</v>
      </c>
      <c r="AC33" s="146"/>
      <c r="AD33" s="171">
        <v>45708</v>
      </c>
      <c r="AE33" s="171">
        <v>45708</v>
      </c>
      <c r="AF33" s="171">
        <v>45701</v>
      </c>
      <c r="AG33" s="184" t="s">
        <v>812</v>
      </c>
      <c r="AH33" s="208">
        <v>64353.54</v>
      </c>
      <c r="AI33" s="149" t="s">
        <v>43</v>
      </c>
      <c r="AJ33" s="149" t="s">
        <v>43</v>
      </c>
      <c r="AK33" s="169" t="s">
        <v>1050</v>
      </c>
      <c r="AL33" s="171">
        <v>45737</v>
      </c>
      <c r="AM33" s="171">
        <v>45712</v>
      </c>
      <c r="AN33" s="171">
        <v>45737</v>
      </c>
      <c r="AO33" s="171" t="s">
        <v>43</v>
      </c>
      <c r="AP33" s="149" t="s">
        <v>43</v>
      </c>
      <c r="AQ33" s="171" t="s">
        <v>43</v>
      </c>
      <c r="AR33" s="171">
        <v>45741</v>
      </c>
      <c r="AS33" s="179"/>
      <c r="AT33" s="182">
        <v>45742</v>
      </c>
      <c r="AU33" s="179"/>
      <c r="AV33" s="179"/>
      <c r="AW33" s="179"/>
      <c r="AX33" s="169" t="s">
        <v>1051</v>
      </c>
      <c r="AY33" s="149" t="s">
        <v>677</v>
      </c>
      <c r="AZ33" s="171" t="s">
        <v>43</v>
      </c>
      <c r="BA33" s="214">
        <f>SUM(AA33+7*8)</f>
        <v>45762</v>
      </c>
      <c r="BB33" s="179"/>
      <c r="BC33" s="146"/>
      <c r="BD33" s="249">
        <v>45761</v>
      </c>
      <c r="BE33" s="149" t="s">
        <v>322</v>
      </c>
      <c r="BF33" s="149">
        <f t="shared" si="2"/>
        <v>7.8571428571428568</v>
      </c>
      <c r="BG33" s="33" t="s">
        <v>1042</v>
      </c>
    </row>
    <row r="34" spans="1:59" ht="154" x14ac:dyDescent="0.15">
      <c r="A34" s="132" t="s">
        <v>1052</v>
      </c>
      <c r="B34" s="33" t="s">
        <v>1053</v>
      </c>
      <c r="C34" s="149" t="s">
        <v>9</v>
      </c>
      <c r="D34" s="33" t="s">
        <v>1054</v>
      </c>
      <c r="E34" s="146"/>
      <c r="F34" s="33" t="s">
        <v>1055</v>
      </c>
      <c r="G34" s="193" t="s">
        <v>1056</v>
      </c>
      <c r="H34" s="149" t="s">
        <v>121</v>
      </c>
      <c r="I34" s="146"/>
      <c r="J34" s="146"/>
      <c r="K34" s="146"/>
      <c r="L34" s="171">
        <v>45666</v>
      </c>
      <c r="M34" s="183">
        <v>45681</v>
      </c>
      <c r="N34" s="171">
        <v>45695</v>
      </c>
      <c r="O34" s="33" t="s">
        <v>1057</v>
      </c>
      <c r="P34" s="149" t="s">
        <v>800</v>
      </c>
      <c r="Q34" s="149"/>
      <c r="R34" s="146"/>
      <c r="S34" s="152">
        <v>5202</v>
      </c>
      <c r="T34" s="171">
        <v>45702</v>
      </c>
      <c r="U34" s="171"/>
      <c r="V34" s="171">
        <v>45702</v>
      </c>
      <c r="W34" s="179"/>
      <c r="X34" s="171">
        <v>45706</v>
      </c>
      <c r="Y34" s="171">
        <v>45727</v>
      </c>
      <c r="Z34" s="171">
        <v>45707</v>
      </c>
      <c r="AA34" s="214">
        <v>45726</v>
      </c>
      <c r="AB34" s="171">
        <v>45733</v>
      </c>
      <c r="AC34" s="146"/>
      <c r="AD34" s="171">
        <v>45733</v>
      </c>
      <c r="AE34" s="171">
        <v>45733</v>
      </c>
      <c r="AF34" s="171">
        <v>45721</v>
      </c>
      <c r="AG34" s="184" t="s">
        <v>1058</v>
      </c>
      <c r="AH34" s="152">
        <v>26322.68</v>
      </c>
      <c r="AI34" s="191" t="s">
        <v>43</v>
      </c>
      <c r="AJ34" s="191" t="s">
        <v>43</v>
      </c>
      <c r="AK34" s="171">
        <v>45733</v>
      </c>
      <c r="AL34" s="171">
        <v>45764</v>
      </c>
      <c r="AM34" s="171">
        <v>45734</v>
      </c>
      <c r="AN34" s="171">
        <v>45764</v>
      </c>
      <c r="AO34" s="249" t="s">
        <v>1059</v>
      </c>
      <c r="AP34" s="247">
        <v>507.57</v>
      </c>
      <c r="AQ34" s="183">
        <v>45764</v>
      </c>
      <c r="AR34" s="171"/>
      <c r="AS34" s="179"/>
      <c r="AT34" s="169" t="s">
        <v>1060</v>
      </c>
      <c r="AU34" s="179"/>
      <c r="AV34" s="179"/>
      <c r="AW34" s="179"/>
      <c r="AX34" s="179"/>
      <c r="AY34" s="149" t="s">
        <v>677</v>
      </c>
      <c r="AZ34" s="179"/>
      <c r="BA34" s="214">
        <v>45783</v>
      </c>
      <c r="BB34" s="179"/>
      <c r="BC34" s="146"/>
      <c r="BD34" s="249">
        <v>45783</v>
      </c>
      <c r="BE34" s="149" t="s">
        <v>322</v>
      </c>
      <c r="BF34" s="149">
        <f t="shared" si="2"/>
        <v>8.1428571428571423</v>
      </c>
      <c r="BG34" s="33" t="s">
        <v>1061</v>
      </c>
    </row>
    <row r="35" spans="1:59" ht="182" x14ac:dyDescent="0.15">
      <c r="A35" s="132" t="s">
        <v>1062</v>
      </c>
      <c r="B35" s="33" t="s">
        <v>854</v>
      </c>
      <c r="C35" s="149" t="s">
        <v>9</v>
      </c>
      <c r="D35" s="255"/>
      <c r="E35" s="149"/>
      <c r="F35" s="33" t="s">
        <v>855</v>
      </c>
      <c r="G35" s="193" t="s">
        <v>1063</v>
      </c>
      <c r="H35" s="149" t="s">
        <v>121</v>
      </c>
      <c r="I35" s="149"/>
      <c r="J35" s="149"/>
      <c r="K35" s="149"/>
      <c r="L35" s="171">
        <v>45603</v>
      </c>
      <c r="M35" s="183">
        <v>45645</v>
      </c>
      <c r="N35" s="171">
        <v>45721</v>
      </c>
      <c r="O35" s="33" t="s">
        <v>1064</v>
      </c>
      <c r="P35" s="158" t="s">
        <v>1065</v>
      </c>
      <c r="Q35" s="158"/>
      <c r="R35" s="256"/>
      <c r="S35" s="247">
        <v>293</v>
      </c>
      <c r="T35" s="183">
        <v>45728</v>
      </c>
      <c r="U35" s="183"/>
      <c r="V35" s="183">
        <v>45728</v>
      </c>
      <c r="W35" s="257"/>
      <c r="X35" s="183" t="s">
        <v>43</v>
      </c>
      <c r="Y35" s="183" t="s">
        <v>43</v>
      </c>
      <c r="Z35" s="183">
        <v>45734</v>
      </c>
      <c r="AA35" s="258">
        <v>45735</v>
      </c>
      <c r="AB35" s="171">
        <v>45742</v>
      </c>
      <c r="AC35" s="146"/>
      <c r="AD35" s="171">
        <v>45737</v>
      </c>
      <c r="AE35" s="171">
        <v>45737</v>
      </c>
      <c r="AF35" s="171">
        <v>45743</v>
      </c>
      <c r="AG35" s="169" t="s">
        <v>1066</v>
      </c>
      <c r="AH35" s="169" t="s">
        <v>43</v>
      </c>
      <c r="AI35" s="149"/>
      <c r="AJ35" s="146"/>
      <c r="AK35" s="171">
        <v>45737</v>
      </c>
      <c r="AL35" s="171">
        <v>45771</v>
      </c>
      <c r="AM35" s="171">
        <v>45744</v>
      </c>
      <c r="AN35" s="171">
        <v>45771</v>
      </c>
      <c r="AO35" s="249" t="s">
        <v>1067</v>
      </c>
      <c r="AP35" s="152">
        <v>555.22</v>
      </c>
      <c r="AQ35" s="171">
        <v>45771</v>
      </c>
      <c r="AR35" s="171">
        <v>45776</v>
      </c>
      <c r="AS35" s="179"/>
      <c r="AT35" s="169" t="s">
        <v>1068</v>
      </c>
      <c r="AU35" s="179"/>
      <c r="AV35" s="171" t="s">
        <v>43</v>
      </c>
      <c r="AW35" s="171" t="s">
        <v>43</v>
      </c>
      <c r="AX35" s="179"/>
      <c r="AY35" s="149" t="s">
        <v>677</v>
      </c>
      <c r="AZ35" s="179"/>
      <c r="BA35" s="214">
        <f>SUM(AA35+7*8)</f>
        <v>45791</v>
      </c>
      <c r="BB35" s="179"/>
      <c r="BC35" s="146"/>
      <c r="BD35" s="249">
        <v>45792</v>
      </c>
      <c r="BE35" s="149" t="s">
        <v>258</v>
      </c>
      <c r="BF35" s="149">
        <f t="shared" si="2"/>
        <v>8.1428571428571423</v>
      </c>
      <c r="BG35" s="33" t="s">
        <v>1061</v>
      </c>
    </row>
    <row r="36" spans="1:59" ht="126" x14ac:dyDescent="0.15">
      <c r="A36" s="132" t="s">
        <v>1069</v>
      </c>
      <c r="B36" s="33" t="s">
        <v>1070</v>
      </c>
      <c r="C36" s="33" t="s">
        <v>9</v>
      </c>
      <c r="D36" s="33" t="s">
        <v>1071</v>
      </c>
      <c r="E36" s="33"/>
      <c r="F36" s="33" t="s">
        <v>1072</v>
      </c>
      <c r="G36" s="193" t="s">
        <v>819</v>
      </c>
      <c r="H36" s="33" t="s">
        <v>393</v>
      </c>
      <c r="I36" s="33"/>
      <c r="J36" s="33"/>
      <c r="K36" s="33"/>
      <c r="L36" s="183">
        <v>45691</v>
      </c>
      <c r="M36" s="171">
        <v>45702</v>
      </c>
      <c r="N36" s="171">
        <v>45702</v>
      </c>
      <c r="O36" s="33" t="s">
        <v>1073</v>
      </c>
      <c r="P36" s="33" t="s">
        <v>1074</v>
      </c>
      <c r="Q36" s="33"/>
      <c r="R36" s="146"/>
      <c r="S36" s="152">
        <v>2312</v>
      </c>
      <c r="T36" s="171">
        <v>45709</v>
      </c>
      <c r="U36" s="171"/>
      <c r="V36" s="171">
        <v>45709</v>
      </c>
      <c r="W36" s="179"/>
      <c r="X36" s="171">
        <v>45713</v>
      </c>
      <c r="Y36" s="171">
        <v>45734</v>
      </c>
      <c r="Z36" s="171">
        <v>45719</v>
      </c>
      <c r="AA36" s="214">
        <v>45719</v>
      </c>
      <c r="AB36" s="171">
        <v>45726</v>
      </c>
      <c r="AC36" s="146"/>
      <c r="AD36" s="171">
        <v>45722</v>
      </c>
      <c r="AE36" s="171">
        <v>45722</v>
      </c>
      <c r="AF36" s="171">
        <v>45730</v>
      </c>
      <c r="AG36" s="184" t="s">
        <v>1058</v>
      </c>
      <c r="AH36" s="152">
        <v>15273.44</v>
      </c>
      <c r="AI36" s="191" t="s">
        <v>43</v>
      </c>
      <c r="AJ36" s="191" t="s">
        <v>43</v>
      </c>
      <c r="AK36" s="171">
        <v>45722</v>
      </c>
      <c r="AL36" s="171">
        <v>45751</v>
      </c>
      <c r="AM36" s="171">
        <v>45723</v>
      </c>
      <c r="AN36" s="171">
        <v>45751</v>
      </c>
      <c r="AO36" s="249" t="s">
        <v>1075</v>
      </c>
      <c r="AP36" s="152">
        <v>507.57</v>
      </c>
      <c r="AQ36" s="171">
        <v>45751</v>
      </c>
      <c r="AR36" s="171"/>
      <c r="AS36" s="179"/>
      <c r="AT36" s="169" t="s">
        <v>1076</v>
      </c>
      <c r="AU36" s="179"/>
      <c r="AV36" s="171" t="s">
        <v>43</v>
      </c>
      <c r="AW36" s="171" t="s">
        <v>43</v>
      </c>
      <c r="AX36" s="179"/>
      <c r="AY36" s="149" t="s">
        <v>677</v>
      </c>
      <c r="AZ36" s="179"/>
      <c r="BA36" s="214">
        <v>45775</v>
      </c>
      <c r="BB36" s="179"/>
      <c r="BC36" s="146"/>
      <c r="BD36" s="249">
        <v>45796</v>
      </c>
      <c r="BE36" s="149" t="s">
        <v>258</v>
      </c>
      <c r="BF36" s="149">
        <f t="shared" si="2"/>
        <v>11</v>
      </c>
      <c r="BG36" s="33" t="s">
        <v>1042</v>
      </c>
    </row>
    <row r="37" spans="1:59" ht="182" x14ac:dyDescent="0.15">
      <c r="A37" s="132" t="s">
        <v>1077</v>
      </c>
      <c r="B37" s="33" t="s">
        <v>1078</v>
      </c>
      <c r="C37" s="149" t="s">
        <v>9</v>
      </c>
      <c r="D37" s="33" t="s">
        <v>895</v>
      </c>
      <c r="E37" s="146"/>
      <c r="F37" s="149" t="s">
        <v>896</v>
      </c>
      <c r="G37" s="193" t="s">
        <v>819</v>
      </c>
      <c r="H37" s="33" t="s">
        <v>121</v>
      </c>
      <c r="I37" s="146"/>
      <c r="J37" s="146"/>
      <c r="K37" s="146"/>
      <c r="L37" s="171">
        <v>45678</v>
      </c>
      <c r="M37" s="183">
        <v>45692</v>
      </c>
      <c r="N37" s="250">
        <v>45692</v>
      </c>
      <c r="O37" s="33" t="s">
        <v>1079</v>
      </c>
      <c r="P37" s="251" t="s">
        <v>906</v>
      </c>
      <c r="Q37" s="252"/>
      <c r="R37" s="253"/>
      <c r="S37" s="152">
        <v>578</v>
      </c>
      <c r="T37" s="254">
        <v>45699</v>
      </c>
      <c r="U37" s="171"/>
      <c r="V37" s="171">
        <v>45699</v>
      </c>
      <c r="W37" s="179"/>
      <c r="X37" s="169" t="s">
        <v>1080</v>
      </c>
      <c r="Y37" s="183" t="s">
        <v>43</v>
      </c>
      <c r="Z37" s="171">
        <v>45712</v>
      </c>
      <c r="AA37" s="214">
        <v>45712</v>
      </c>
      <c r="AB37" s="171">
        <v>45719</v>
      </c>
      <c r="AC37" s="146"/>
      <c r="AD37" s="171">
        <v>45716</v>
      </c>
      <c r="AE37" s="171">
        <v>45716</v>
      </c>
      <c r="AF37" s="171">
        <v>45719</v>
      </c>
      <c r="AG37" s="184" t="s">
        <v>1058</v>
      </c>
      <c r="AH37" s="152">
        <v>1309.1500000000001</v>
      </c>
      <c r="AI37" s="149" t="s">
        <v>43</v>
      </c>
      <c r="AJ37" s="149" t="s">
        <v>43</v>
      </c>
      <c r="AK37" s="171">
        <v>45716</v>
      </c>
      <c r="AL37" s="171">
        <v>45747</v>
      </c>
      <c r="AM37" s="171">
        <v>45748</v>
      </c>
      <c r="AN37" s="171">
        <v>45769</v>
      </c>
      <c r="AO37" s="249" t="s">
        <v>1081</v>
      </c>
      <c r="AP37" s="152">
        <v>507.57</v>
      </c>
      <c r="AQ37" s="171">
        <v>45747</v>
      </c>
      <c r="AR37" s="171"/>
      <c r="AS37" s="179"/>
      <c r="AT37" s="182" t="s">
        <v>1082</v>
      </c>
      <c r="AU37" s="179"/>
      <c r="AV37" s="171" t="s">
        <v>43</v>
      </c>
      <c r="AW37" s="171" t="s">
        <v>43</v>
      </c>
      <c r="AX37" s="179"/>
      <c r="AY37" s="149" t="s">
        <v>677</v>
      </c>
      <c r="AZ37" s="179"/>
      <c r="BA37" s="214">
        <v>45786</v>
      </c>
      <c r="BB37" s="179"/>
      <c r="BC37" s="146"/>
      <c r="BD37" s="249">
        <v>45796</v>
      </c>
      <c r="BE37" s="149" t="s">
        <v>258</v>
      </c>
      <c r="BF37" s="149">
        <f t="shared" si="2"/>
        <v>12</v>
      </c>
      <c r="BG37" s="33" t="s">
        <v>1042</v>
      </c>
    </row>
    <row r="38" spans="1:59" ht="112" x14ac:dyDescent="0.15">
      <c r="A38" s="132" t="s">
        <v>1083</v>
      </c>
      <c r="B38" s="33" t="s">
        <v>1084</v>
      </c>
      <c r="C38" s="149" t="s">
        <v>9</v>
      </c>
      <c r="D38" s="33" t="s">
        <v>1010</v>
      </c>
      <c r="E38" s="146"/>
      <c r="F38" s="149" t="s">
        <v>1085</v>
      </c>
      <c r="G38" s="193" t="s">
        <v>847</v>
      </c>
      <c r="H38" s="158" t="s">
        <v>393</v>
      </c>
      <c r="I38" s="146"/>
      <c r="J38" s="146"/>
      <c r="K38" s="146"/>
      <c r="L38" s="171">
        <v>45685</v>
      </c>
      <c r="M38" s="183">
        <v>45695</v>
      </c>
      <c r="N38" s="171">
        <v>45699</v>
      </c>
      <c r="O38" s="33" t="s">
        <v>1086</v>
      </c>
      <c r="P38" s="149" t="s">
        <v>906</v>
      </c>
      <c r="Q38" s="149"/>
      <c r="R38" s="146"/>
      <c r="S38" s="152">
        <v>578</v>
      </c>
      <c r="T38" s="171">
        <v>45706</v>
      </c>
      <c r="U38" s="171"/>
      <c r="V38" s="171">
        <v>45706</v>
      </c>
      <c r="W38" s="179"/>
      <c r="X38" s="169" t="s">
        <v>1087</v>
      </c>
      <c r="Y38" s="183" t="s">
        <v>43</v>
      </c>
      <c r="Z38" s="171">
        <v>45709</v>
      </c>
      <c r="AA38" s="214">
        <v>45712</v>
      </c>
      <c r="AB38" s="171">
        <v>45719</v>
      </c>
      <c r="AC38" s="146"/>
      <c r="AD38" s="171">
        <v>45719</v>
      </c>
      <c r="AE38" s="171">
        <v>45719</v>
      </c>
      <c r="AF38" s="171">
        <v>45715</v>
      </c>
      <c r="AG38" s="184" t="s">
        <v>1058</v>
      </c>
      <c r="AH38" s="152">
        <v>2443.75</v>
      </c>
      <c r="AI38" s="191" t="s">
        <v>43</v>
      </c>
      <c r="AJ38" s="191" t="s">
        <v>43</v>
      </c>
      <c r="AK38" s="171">
        <v>45719</v>
      </c>
      <c r="AL38" s="171">
        <v>45748</v>
      </c>
      <c r="AM38" s="171">
        <v>45719</v>
      </c>
      <c r="AN38" s="171">
        <v>45748</v>
      </c>
      <c r="AO38" s="171" t="s">
        <v>43</v>
      </c>
      <c r="AP38" s="149" t="s">
        <v>43</v>
      </c>
      <c r="AQ38" s="171" t="s">
        <v>43</v>
      </c>
      <c r="AR38" s="171">
        <v>45748</v>
      </c>
      <c r="AS38" s="179"/>
      <c r="AT38" s="182" t="s">
        <v>1082</v>
      </c>
      <c r="AU38" s="179"/>
      <c r="AV38" s="171" t="s">
        <v>43</v>
      </c>
      <c r="AW38" s="171" t="s">
        <v>43</v>
      </c>
      <c r="AX38" s="179"/>
      <c r="AY38" s="149" t="s">
        <v>677</v>
      </c>
      <c r="AZ38" s="179"/>
      <c r="BA38" s="214">
        <v>45769</v>
      </c>
      <c r="BB38" s="179"/>
      <c r="BC38" s="146"/>
      <c r="BD38" s="249">
        <v>45797</v>
      </c>
      <c r="BE38" s="149" t="s">
        <v>258</v>
      </c>
      <c r="BF38" s="149">
        <f t="shared" si="2"/>
        <v>12.142857142857142</v>
      </c>
      <c r="BG38" s="33" t="s">
        <v>1042</v>
      </c>
    </row>
    <row r="39" spans="1:59" ht="196" x14ac:dyDescent="0.15">
      <c r="A39" s="132" t="s">
        <v>1088</v>
      </c>
      <c r="B39" s="33" t="s">
        <v>1089</v>
      </c>
      <c r="C39" s="149" t="s">
        <v>9</v>
      </c>
      <c r="D39" s="33" t="s">
        <v>1090</v>
      </c>
      <c r="E39" s="149"/>
      <c r="F39" s="33" t="s">
        <v>1091</v>
      </c>
      <c r="G39" s="193" t="s">
        <v>1092</v>
      </c>
      <c r="H39" s="151" t="s">
        <v>393</v>
      </c>
      <c r="I39" s="149"/>
      <c r="J39" s="149"/>
      <c r="K39" s="149"/>
      <c r="L39" s="171">
        <v>45702</v>
      </c>
      <c r="M39" s="183">
        <v>45716</v>
      </c>
      <c r="N39" s="171">
        <v>45719</v>
      </c>
      <c r="O39" s="33" t="s">
        <v>1093</v>
      </c>
      <c r="P39" s="33" t="s">
        <v>1094</v>
      </c>
      <c r="Q39" s="33"/>
      <c r="R39" s="149"/>
      <c r="S39" s="152">
        <v>578</v>
      </c>
      <c r="T39" s="171">
        <v>45726</v>
      </c>
      <c r="U39" s="171"/>
      <c r="V39" s="171">
        <v>45726</v>
      </c>
      <c r="W39" s="171"/>
      <c r="X39" s="171">
        <v>45729</v>
      </c>
      <c r="Y39" s="171" t="s">
        <v>43</v>
      </c>
      <c r="Z39" s="171">
        <v>45737</v>
      </c>
      <c r="AA39" s="214">
        <v>45737</v>
      </c>
      <c r="AB39" s="171">
        <v>45744</v>
      </c>
      <c r="AC39" s="149"/>
      <c r="AD39" s="171">
        <v>45744</v>
      </c>
      <c r="AE39" s="171">
        <v>45744</v>
      </c>
      <c r="AF39" s="171">
        <v>45733</v>
      </c>
      <c r="AG39" s="184" t="s">
        <v>812</v>
      </c>
      <c r="AH39" s="152">
        <v>41316.83</v>
      </c>
      <c r="AI39" s="149" t="s">
        <v>43</v>
      </c>
      <c r="AJ39" s="149" t="s">
        <v>43</v>
      </c>
      <c r="AK39" s="171">
        <v>45744</v>
      </c>
      <c r="AL39" s="171">
        <v>45777</v>
      </c>
      <c r="AM39" s="171">
        <v>45744</v>
      </c>
      <c r="AN39" s="171">
        <v>45777</v>
      </c>
      <c r="AO39" s="171" t="s">
        <v>43</v>
      </c>
      <c r="AP39" s="149" t="s">
        <v>43</v>
      </c>
      <c r="AQ39" s="171" t="s">
        <v>43</v>
      </c>
      <c r="AR39" s="171">
        <v>45784</v>
      </c>
      <c r="AS39" s="171" t="s">
        <v>43</v>
      </c>
      <c r="AT39" s="171">
        <v>45779</v>
      </c>
      <c r="AU39" s="171"/>
      <c r="AV39" s="171" t="s">
        <v>43</v>
      </c>
      <c r="AW39" s="171" t="s">
        <v>43</v>
      </c>
      <c r="AX39" s="171"/>
      <c r="AY39" s="149" t="s">
        <v>677</v>
      </c>
      <c r="AZ39" s="171"/>
      <c r="BA39" s="214">
        <v>45793</v>
      </c>
      <c r="BB39" s="171"/>
      <c r="BC39" s="149"/>
      <c r="BD39" s="171">
        <v>45797</v>
      </c>
      <c r="BE39" s="149" t="s">
        <v>258</v>
      </c>
      <c r="BF39" s="149">
        <f t="shared" si="2"/>
        <v>8.5714285714285712</v>
      </c>
      <c r="BG39" s="33" t="s">
        <v>1042</v>
      </c>
    </row>
    <row r="40" spans="1:59" ht="126" x14ac:dyDescent="0.15">
      <c r="A40" s="132" t="s">
        <v>1095</v>
      </c>
      <c r="B40" s="33" t="s">
        <v>1096</v>
      </c>
      <c r="C40" s="149" t="s">
        <v>9</v>
      </c>
      <c r="D40" s="33" t="s">
        <v>1097</v>
      </c>
      <c r="E40" s="146"/>
      <c r="F40" s="33" t="s">
        <v>1098</v>
      </c>
      <c r="G40" s="193" t="s">
        <v>819</v>
      </c>
      <c r="H40" s="33" t="s">
        <v>393</v>
      </c>
      <c r="I40" s="146"/>
      <c r="J40" s="146"/>
      <c r="K40" s="146"/>
      <c r="L40" s="171">
        <v>45694</v>
      </c>
      <c r="M40" s="183">
        <v>45709</v>
      </c>
      <c r="N40" s="171">
        <v>45709</v>
      </c>
      <c r="O40" s="199" t="s">
        <v>1099</v>
      </c>
      <c r="P40" s="33" t="s">
        <v>869</v>
      </c>
      <c r="Q40" s="33"/>
      <c r="R40" s="146"/>
      <c r="S40" s="152">
        <v>578</v>
      </c>
      <c r="T40" s="171">
        <v>45716</v>
      </c>
      <c r="U40" s="171"/>
      <c r="V40" s="171">
        <v>45716</v>
      </c>
      <c r="W40" s="179"/>
      <c r="X40" s="171">
        <v>45721</v>
      </c>
      <c r="Y40" s="171">
        <v>45742</v>
      </c>
      <c r="Z40" s="171">
        <v>45723</v>
      </c>
      <c r="AA40" s="260">
        <v>45743</v>
      </c>
      <c r="AB40" s="171">
        <v>45750</v>
      </c>
      <c r="AC40" s="146"/>
      <c r="AD40" s="171">
        <v>45747</v>
      </c>
      <c r="AE40" s="171">
        <v>45747</v>
      </c>
      <c r="AF40" s="171">
        <v>45721</v>
      </c>
      <c r="AG40" s="169" t="s">
        <v>1100</v>
      </c>
      <c r="AH40" s="183" t="s">
        <v>43</v>
      </c>
      <c r="AI40" s="146"/>
      <c r="AJ40" s="146"/>
      <c r="AK40" s="171">
        <v>45747</v>
      </c>
      <c r="AL40" s="171">
        <v>45413</v>
      </c>
      <c r="AM40" s="171">
        <v>45748</v>
      </c>
      <c r="AN40" s="171">
        <v>45778</v>
      </c>
      <c r="AO40" s="249" t="s">
        <v>1101</v>
      </c>
      <c r="AP40" s="152">
        <v>555.22</v>
      </c>
      <c r="AQ40" s="249">
        <v>45778</v>
      </c>
      <c r="AR40" s="171">
        <v>45785</v>
      </c>
      <c r="AS40" s="179"/>
      <c r="AT40" s="169" t="s">
        <v>1102</v>
      </c>
      <c r="AU40" s="179"/>
      <c r="AV40" s="171" t="s">
        <v>43</v>
      </c>
      <c r="AW40" s="171" t="s">
        <v>43</v>
      </c>
      <c r="AX40" s="171"/>
      <c r="AY40" s="171" t="s">
        <v>677</v>
      </c>
      <c r="AZ40" s="179"/>
      <c r="BA40" s="214">
        <v>45799</v>
      </c>
      <c r="BB40" s="179"/>
      <c r="BC40" s="146"/>
      <c r="BD40" s="171">
        <v>45799</v>
      </c>
      <c r="BE40" s="149" t="s">
        <v>322</v>
      </c>
      <c r="BF40" s="149">
        <f t="shared" si="2"/>
        <v>8</v>
      </c>
      <c r="BG40" s="33" t="s">
        <v>1042</v>
      </c>
    </row>
    <row r="41" spans="1:59" ht="96.75" customHeight="1" x14ac:dyDescent="0.15">
      <c r="A41" s="33" t="s">
        <v>708</v>
      </c>
      <c r="B41" s="33" t="s">
        <v>1103</v>
      </c>
      <c r="C41" s="149" t="s">
        <v>10</v>
      </c>
      <c r="D41" s="33" t="s">
        <v>1104</v>
      </c>
      <c r="E41" s="146"/>
      <c r="F41" s="33" t="s">
        <v>1105</v>
      </c>
      <c r="G41" s="193" t="s">
        <v>1106</v>
      </c>
      <c r="H41" s="33" t="s">
        <v>1107</v>
      </c>
      <c r="I41" s="146"/>
      <c r="J41" s="146"/>
      <c r="K41" s="146"/>
      <c r="L41" s="183">
        <v>45676</v>
      </c>
      <c r="M41" s="183">
        <v>45687</v>
      </c>
      <c r="N41" s="171">
        <v>45699</v>
      </c>
      <c r="O41" s="262" t="s">
        <v>1108</v>
      </c>
      <c r="P41" s="263"/>
      <c r="Q41" s="264"/>
      <c r="R41" s="264"/>
      <c r="S41" s="149"/>
      <c r="T41" s="179"/>
      <c r="U41" s="265"/>
      <c r="V41" s="179"/>
      <c r="W41" s="265"/>
      <c r="X41" s="179"/>
      <c r="Y41" s="179"/>
      <c r="Z41" s="179"/>
      <c r="AA41" s="215"/>
      <c r="AB41" s="179"/>
      <c r="AC41" s="146"/>
      <c r="AD41" s="179"/>
      <c r="AE41" s="179"/>
      <c r="AF41" s="179"/>
      <c r="AG41" s="179"/>
      <c r="AH41" s="179"/>
      <c r="AI41" s="146"/>
      <c r="AJ41" s="146"/>
      <c r="AK41" s="179"/>
      <c r="AL41" s="179"/>
      <c r="AM41" s="179"/>
      <c r="AN41" s="179"/>
      <c r="AO41" s="179"/>
      <c r="AP41" s="146"/>
      <c r="AQ41" s="179"/>
      <c r="AR41" s="179"/>
      <c r="AS41" s="179"/>
      <c r="AT41" s="179"/>
      <c r="AU41" s="179"/>
      <c r="AV41" s="179"/>
      <c r="AW41" s="179"/>
      <c r="AX41" s="179"/>
      <c r="AY41" s="146"/>
      <c r="AZ41" s="179"/>
      <c r="BA41" s="179"/>
      <c r="BB41" s="179"/>
      <c r="BC41" s="146"/>
      <c r="BD41" s="179"/>
      <c r="BE41" s="149" t="s">
        <v>43</v>
      </c>
      <c r="BF41" s="149"/>
      <c r="BG41" s="33" t="s">
        <v>1109</v>
      </c>
    </row>
    <row r="42" spans="1:59" ht="56" x14ac:dyDescent="0.15">
      <c r="A42" s="132" t="s">
        <v>1110</v>
      </c>
      <c r="B42" s="33" t="s">
        <v>1111</v>
      </c>
      <c r="C42" s="149" t="s">
        <v>9</v>
      </c>
      <c r="D42" s="33"/>
      <c r="E42" s="149"/>
      <c r="F42" s="33" t="s">
        <v>1112</v>
      </c>
      <c r="G42" s="193" t="s">
        <v>1113</v>
      </c>
      <c r="H42" s="151" t="s">
        <v>393</v>
      </c>
      <c r="I42" s="149"/>
      <c r="J42" s="149"/>
      <c r="K42" s="149"/>
      <c r="L42" s="171" t="s">
        <v>1114</v>
      </c>
      <c r="M42" s="183"/>
      <c r="N42" s="250">
        <v>45720</v>
      </c>
      <c r="O42" s="33" t="s">
        <v>1115</v>
      </c>
      <c r="P42" s="251" t="s">
        <v>1116</v>
      </c>
      <c r="Q42" s="251"/>
      <c r="R42" s="149"/>
      <c r="S42" s="269">
        <v>578</v>
      </c>
      <c r="T42" s="171">
        <v>45727</v>
      </c>
      <c r="U42" s="171"/>
      <c r="V42" s="171">
        <v>45727</v>
      </c>
      <c r="W42" s="171"/>
      <c r="X42" s="171">
        <v>45729</v>
      </c>
      <c r="Y42" s="171">
        <v>45750</v>
      </c>
      <c r="Z42" s="171">
        <v>45744</v>
      </c>
      <c r="AA42" s="214">
        <v>45744</v>
      </c>
      <c r="AB42" s="171">
        <v>45751</v>
      </c>
      <c r="AC42" s="149"/>
      <c r="AD42" s="171">
        <v>45748</v>
      </c>
      <c r="AE42" s="171">
        <v>45748</v>
      </c>
      <c r="AF42" s="171">
        <v>45733</v>
      </c>
      <c r="AG42" s="270" t="s">
        <v>812</v>
      </c>
      <c r="AH42" s="152">
        <v>8134.2</v>
      </c>
      <c r="AI42" s="149" t="s">
        <v>43</v>
      </c>
      <c r="AJ42" s="149" t="s">
        <v>43</v>
      </c>
      <c r="AK42" s="171">
        <v>45748</v>
      </c>
      <c r="AL42" s="171">
        <v>45779</v>
      </c>
      <c r="AM42" s="171">
        <v>45749</v>
      </c>
      <c r="AN42" s="171">
        <v>45779</v>
      </c>
      <c r="AO42" s="171" t="s">
        <v>43</v>
      </c>
      <c r="AP42" s="149" t="s">
        <v>43</v>
      </c>
      <c r="AQ42" s="171" t="s">
        <v>43</v>
      </c>
      <c r="AR42" s="171">
        <v>45789</v>
      </c>
      <c r="AS42" s="171"/>
      <c r="AT42" s="171" t="s">
        <v>1117</v>
      </c>
      <c r="AU42" s="171"/>
      <c r="AV42" s="171" t="s">
        <v>43</v>
      </c>
      <c r="AW42" s="171" t="s">
        <v>43</v>
      </c>
      <c r="AX42" s="171"/>
      <c r="AY42" s="149" t="s">
        <v>677</v>
      </c>
      <c r="AZ42" s="171"/>
      <c r="BA42" s="214">
        <f>SUM(AA42+7*8)</f>
        <v>45800</v>
      </c>
      <c r="BB42" s="171"/>
      <c r="BC42" s="149" t="s">
        <v>1118</v>
      </c>
      <c r="BD42" s="171">
        <v>45813</v>
      </c>
      <c r="BE42" s="149" t="s">
        <v>322</v>
      </c>
      <c r="BF42" s="149">
        <f t="shared" ref="BF42:BF57" si="3">(BD42-AA42)/7</f>
        <v>9.8571428571428577</v>
      </c>
      <c r="BG42" s="33" t="s">
        <v>1042</v>
      </c>
    </row>
    <row r="43" spans="1:59" ht="112" x14ac:dyDescent="0.15">
      <c r="A43" s="132" t="s">
        <v>1119</v>
      </c>
      <c r="B43" s="33" t="s">
        <v>1120</v>
      </c>
      <c r="C43" s="33" t="s">
        <v>9</v>
      </c>
      <c r="D43" s="33"/>
      <c r="E43" s="33"/>
      <c r="F43" s="33" t="s">
        <v>1121</v>
      </c>
      <c r="G43" s="193" t="s">
        <v>1047</v>
      </c>
      <c r="H43" s="33"/>
      <c r="I43" s="33"/>
      <c r="J43" s="33"/>
      <c r="K43" s="33"/>
      <c r="L43" s="169">
        <v>45722</v>
      </c>
      <c r="M43" s="170">
        <v>45736</v>
      </c>
      <c r="N43" s="169">
        <v>45736</v>
      </c>
      <c r="O43" s="33" t="s">
        <v>1122</v>
      </c>
      <c r="P43" s="33" t="s">
        <v>1123</v>
      </c>
      <c r="Q43" s="33"/>
      <c r="R43" s="33"/>
      <c r="S43" s="247">
        <v>578</v>
      </c>
      <c r="T43" s="183">
        <v>45742</v>
      </c>
      <c r="U43" s="183"/>
      <c r="V43" s="183">
        <v>45742</v>
      </c>
      <c r="W43" s="179"/>
      <c r="X43" s="183">
        <v>45744</v>
      </c>
      <c r="Y43" s="183">
        <v>45769</v>
      </c>
      <c r="Z43" s="171">
        <v>45749</v>
      </c>
      <c r="AA43" s="214">
        <v>45762</v>
      </c>
      <c r="AB43" s="171">
        <v>45770</v>
      </c>
      <c r="AC43" s="149"/>
      <c r="AD43" s="171">
        <v>45770</v>
      </c>
      <c r="AE43" s="171">
        <v>45770</v>
      </c>
      <c r="AF43" s="171">
        <v>45747</v>
      </c>
      <c r="AG43" s="169" t="s">
        <v>1124</v>
      </c>
      <c r="AH43" s="169" t="s">
        <v>43</v>
      </c>
      <c r="AI43" s="149" t="s">
        <v>43</v>
      </c>
      <c r="AJ43" s="146"/>
      <c r="AK43" s="171">
        <v>45770</v>
      </c>
      <c r="AL43" s="171">
        <v>45799</v>
      </c>
      <c r="AM43" s="171">
        <v>45771</v>
      </c>
      <c r="AN43" s="171">
        <v>45799</v>
      </c>
      <c r="AO43" s="249" t="s">
        <v>43</v>
      </c>
      <c r="AP43" s="249" t="s">
        <v>43</v>
      </c>
      <c r="AQ43" s="249" t="s">
        <v>43</v>
      </c>
      <c r="AR43" s="171">
        <v>45804</v>
      </c>
      <c r="AS43" s="179"/>
      <c r="AT43" s="169" t="s">
        <v>1125</v>
      </c>
      <c r="AU43" s="179"/>
      <c r="AV43" s="171" t="s">
        <v>43</v>
      </c>
      <c r="AW43" s="171" t="s">
        <v>43</v>
      </c>
      <c r="AX43" s="179"/>
      <c r="AY43" s="149" t="s">
        <v>677</v>
      </c>
      <c r="AZ43" s="179"/>
      <c r="BA43" s="214">
        <f>SUM(AA43+7*8)</f>
        <v>45818</v>
      </c>
      <c r="BB43" s="179"/>
      <c r="BC43" s="149" t="s">
        <v>1118</v>
      </c>
      <c r="BD43" s="171">
        <v>45818</v>
      </c>
      <c r="BE43" s="149" t="s">
        <v>258</v>
      </c>
      <c r="BF43" s="149">
        <f t="shared" si="3"/>
        <v>8</v>
      </c>
      <c r="BG43" s="33" t="s">
        <v>1042</v>
      </c>
    </row>
    <row r="44" spans="1:59" ht="60.75" customHeight="1" x14ac:dyDescent="0.15">
      <c r="A44" s="132" t="s">
        <v>1126</v>
      </c>
      <c r="B44" s="33" t="s">
        <v>1127</v>
      </c>
      <c r="C44" s="33" t="s">
        <v>10</v>
      </c>
      <c r="D44" s="33" t="s">
        <v>1128</v>
      </c>
      <c r="E44" s="199"/>
      <c r="F44" s="33" t="s">
        <v>1129</v>
      </c>
      <c r="G44" s="33" t="s">
        <v>1130</v>
      </c>
      <c r="H44" s="33" t="s">
        <v>1131</v>
      </c>
      <c r="I44" s="146"/>
      <c r="J44" s="146"/>
      <c r="K44" s="146"/>
      <c r="L44" s="169" t="s">
        <v>1132</v>
      </c>
      <c r="M44" s="170" t="s">
        <v>1133</v>
      </c>
      <c r="N44" s="219">
        <v>45708</v>
      </c>
      <c r="O44" s="142" t="s">
        <v>1134</v>
      </c>
      <c r="P44" s="33" t="s">
        <v>869</v>
      </c>
      <c r="Q44" s="33"/>
      <c r="R44" s="146"/>
      <c r="S44" s="152">
        <v>2890</v>
      </c>
      <c r="T44" s="171">
        <v>45713</v>
      </c>
      <c r="U44" s="171"/>
      <c r="V44" s="171">
        <v>45713</v>
      </c>
      <c r="W44" s="179"/>
      <c r="X44" s="171">
        <v>45720</v>
      </c>
      <c r="Y44" s="171">
        <v>45741</v>
      </c>
      <c r="Z44" s="183">
        <v>45736</v>
      </c>
      <c r="AA44" s="260">
        <v>45736</v>
      </c>
      <c r="AB44" s="171">
        <v>45743</v>
      </c>
      <c r="AC44" s="146"/>
      <c r="AD44" s="171">
        <v>45742</v>
      </c>
      <c r="AE44" s="171">
        <v>45742</v>
      </c>
      <c r="AF44" s="171">
        <v>45720</v>
      </c>
      <c r="AG44" s="171" t="s">
        <v>43</v>
      </c>
      <c r="AH44" s="183" t="s">
        <v>43</v>
      </c>
      <c r="AI44" s="146"/>
      <c r="AJ44" s="146"/>
      <c r="AK44" s="171">
        <v>45742</v>
      </c>
      <c r="AL44" s="171">
        <v>45775</v>
      </c>
      <c r="AM44" s="171">
        <v>45747</v>
      </c>
      <c r="AN44" s="171">
        <v>45775</v>
      </c>
      <c r="AO44" s="249" t="s">
        <v>1135</v>
      </c>
      <c r="AP44" s="152">
        <v>482.07</v>
      </c>
      <c r="AQ44" s="171">
        <v>45775</v>
      </c>
      <c r="AR44" s="171">
        <v>45778</v>
      </c>
      <c r="AS44" s="179"/>
      <c r="AT44" s="169" t="s">
        <v>1136</v>
      </c>
      <c r="AU44" s="179"/>
      <c r="AV44" s="171" t="s">
        <v>43</v>
      </c>
      <c r="AW44" s="171" t="s">
        <v>43</v>
      </c>
      <c r="AX44" s="179"/>
      <c r="AY44" s="149" t="s">
        <v>677</v>
      </c>
      <c r="AZ44" s="179"/>
      <c r="BA44" s="214">
        <v>45813</v>
      </c>
      <c r="BB44" s="179"/>
      <c r="BC44" s="149" t="s">
        <v>1118</v>
      </c>
      <c r="BD44" s="171">
        <v>45820</v>
      </c>
      <c r="BE44" s="171" t="s">
        <v>322</v>
      </c>
      <c r="BF44" s="149">
        <f t="shared" si="3"/>
        <v>12</v>
      </c>
      <c r="BG44" s="33" t="s">
        <v>1137</v>
      </c>
    </row>
    <row r="45" spans="1:59" ht="168" x14ac:dyDescent="0.15">
      <c r="A45" s="132" t="s">
        <v>1138</v>
      </c>
      <c r="B45" s="151" t="s">
        <v>1139</v>
      </c>
      <c r="C45" s="273" t="s">
        <v>9</v>
      </c>
      <c r="D45" s="151" t="s">
        <v>1140</v>
      </c>
      <c r="E45" s="263"/>
      <c r="F45" s="151" t="s">
        <v>1141</v>
      </c>
      <c r="G45" s="274" t="s">
        <v>819</v>
      </c>
      <c r="H45" s="151" t="s">
        <v>393</v>
      </c>
      <c r="I45" s="146" t="s">
        <v>1142</v>
      </c>
      <c r="J45" s="146"/>
      <c r="K45" s="146"/>
      <c r="L45" s="275">
        <v>45692</v>
      </c>
      <c r="M45" s="276">
        <v>45712</v>
      </c>
      <c r="N45" s="276">
        <v>45715</v>
      </c>
      <c r="O45" s="277" t="s">
        <v>1143</v>
      </c>
      <c r="P45" s="151" t="s">
        <v>1144</v>
      </c>
      <c r="Q45" s="151"/>
      <c r="R45" s="263"/>
      <c r="S45" s="152">
        <v>578</v>
      </c>
      <c r="T45" s="276">
        <v>45721</v>
      </c>
      <c r="U45" s="278"/>
      <c r="V45" s="276">
        <v>45721</v>
      </c>
      <c r="W45" s="279"/>
      <c r="X45" s="276" t="s">
        <v>43</v>
      </c>
      <c r="Y45" s="276" t="s">
        <v>43</v>
      </c>
      <c r="Z45" s="171">
        <v>45723</v>
      </c>
      <c r="AA45" s="260">
        <v>45723</v>
      </c>
      <c r="AB45" s="171">
        <v>45730</v>
      </c>
      <c r="AC45" s="171"/>
      <c r="AD45" s="171">
        <v>45730</v>
      </c>
      <c r="AE45" s="171">
        <v>45730</v>
      </c>
      <c r="AF45" s="171">
        <v>45729</v>
      </c>
      <c r="AG45" s="184" t="s">
        <v>812</v>
      </c>
      <c r="AH45" s="152">
        <v>1396.43</v>
      </c>
      <c r="AI45" s="191" t="s">
        <v>43</v>
      </c>
      <c r="AJ45" s="191" t="s">
        <v>43</v>
      </c>
      <c r="AK45" s="171">
        <v>45730</v>
      </c>
      <c r="AL45" s="171">
        <v>45763</v>
      </c>
      <c r="AM45" s="276">
        <v>45733</v>
      </c>
      <c r="AN45" s="276">
        <v>45763</v>
      </c>
      <c r="AO45" s="171" t="s">
        <v>43</v>
      </c>
      <c r="AP45" s="171" t="s">
        <v>43</v>
      </c>
      <c r="AQ45" s="171" t="s">
        <v>43</v>
      </c>
      <c r="AR45" s="276">
        <v>45772</v>
      </c>
      <c r="AS45" s="276">
        <v>45772</v>
      </c>
      <c r="AT45" s="169" t="s">
        <v>1145</v>
      </c>
      <c r="AU45" s="280"/>
      <c r="AV45" s="171" t="s">
        <v>43</v>
      </c>
      <c r="AW45" s="171" t="s">
        <v>43</v>
      </c>
      <c r="AX45" s="280"/>
      <c r="AY45" s="273" t="s">
        <v>677</v>
      </c>
      <c r="AZ45" s="280"/>
      <c r="BA45" s="214">
        <v>45824</v>
      </c>
      <c r="BB45" s="149"/>
      <c r="BC45" s="33" t="s">
        <v>1146</v>
      </c>
      <c r="BD45" s="171">
        <v>45831</v>
      </c>
      <c r="BE45" s="171" t="s">
        <v>322</v>
      </c>
      <c r="BF45" s="149">
        <f t="shared" si="3"/>
        <v>15.428571428571429</v>
      </c>
      <c r="BG45" s="33" t="s">
        <v>1042</v>
      </c>
    </row>
    <row r="46" spans="1:59" ht="140" x14ac:dyDescent="0.15">
      <c r="A46" s="132" t="s">
        <v>1147</v>
      </c>
      <c r="B46" s="33" t="s">
        <v>1148</v>
      </c>
      <c r="C46" s="33" t="s">
        <v>9</v>
      </c>
      <c r="D46" s="146"/>
      <c r="E46" s="146"/>
      <c r="F46" s="33" t="s">
        <v>1149</v>
      </c>
      <c r="G46" s="193" t="s">
        <v>1150</v>
      </c>
      <c r="H46" s="146"/>
      <c r="I46" s="146"/>
      <c r="J46" s="146"/>
      <c r="K46" s="146"/>
      <c r="L46" s="170">
        <v>45734</v>
      </c>
      <c r="M46" s="170">
        <v>45757</v>
      </c>
      <c r="N46" s="171">
        <v>45761</v>
      </c>
      <c r="O46" s="33" t="s">
        <v>1151</v>
      </c>
      <c r="P46" s="33" t="s">
        <v>757</v>
      </c>
      <c r="Q46" s="33"/>
      <c r="R46" s="146"/>
      <c r="S46" s="152">
        <v>588</v>
      </c>
      <c r="T46" s="171">
        <v>45771</v>
      </c>
      <c r="U46" s="171"/>
      <c r="V46" s="171">
        <v>45771</v>
      </c>
      <c r="W46" s="179"/>
      <c r="X46" s="171">
        <v>45772</v>
      </c>
      <c r="Y46" s="171">
        <v>45793</v>
      </c>
      <c r="Z46" s="171">
        <v>45776</v>
      </c>
      <c r="AA46" s="214">
        <v>45776</v>
      </c>
      <c r="AB46" s="171">
        <v>45784</v>
      </c>
      <c r="AC46" s="171"/>
      <c r="AD46" s="171">
        <v>45783</v>
      </c>
      <c r="AE46" s="171">
        <v>45783</v>
      </c>
      <c r="AF46" s="171">
        <v>45777</v>
      </c>
      <c r="AG46" s="169" t="s">
        <v>1152</v>
      </c>
      <c r="AH46" s="171" t="s">
        <v>43</v>
      </c>
      <c r="AI46" s="149" t="s">
        <v>43</v>
      </c>
      <c r="AJ46" s="146"/>
      <c r="AK46" s="171">
        <v>45783</v>
      </c>
      <c r="AL46" s="171">
        <v>45812</v>
      </c>
      <c r="AM46" s="171">
        <v>45785</v>
      </c>
      <c r="AN46" s="171">
        <v>45812</v>
      </c>
      <c r="AO46" s="249" t="s">
        <v>1153</v>
      </c>
      <c r="AP46" s="152">
        <v>555.22</v>
      </c>
      <c r="AQ46" s="171">
        <v>45812</v>
      </c>
      <c r="AR46" s="171">
        <v>45814</v>
      </c>
      <c r="AS46" s="171" t="s">
        <v>43</v>
      </c>
      <c r="AT46" s="171" t="s">
        <v>1154</v>
      </c>
      <c r="AU46" s="179"/>
      <c r="AV46" s="171" t="s">
        <v>43</v>
      </c>
      <c r="AW46" s="171" t="s">
        <v>43</v>
      </c>
      <c r="AX46" s="169">
        <v>45820</v>
      </c>
      <c r="AY46" s="149" t="s">
        <v>677</v>
      </c>
      <c r="AZ46" s="179"/>
      <c r="BA46" s="214">
        <f t="shared" ref="BA46:BA51" si="4">SUM(AA46+7*8)</f>
        <v>45832</v>
      </c>
      <c r="BB46" s="179"/>
      <c r="BC46" s="146"/>
      <c r="BD46" s="171">
        <v>45832</v>
      </c>
      <c r="BE46" s="171" t="s">
        <v>322</v>
      </c>
      <c r="BF46" s="149">
        <f t="shared" si="3"/>
        <v>8</v>
      </c>
      <c r="BG46" s="33" t="s">
        <v>1042</v>
      </c>
    </row>
    <row r="47" spans="1:59" ht="42" x14ac:dyDescent="0.15">
      <c r="A47" s="132" t="s">
        <v>1155</v>
      </c>
      <c r="B47" s="33" t="s">
        <v>1156</v>
      </c>
      <c r="C47" s="33" t="s">
        <v>9</v>
      </c>
      <c r="D47" s="146"/>
      <c r="E47" s="146"/>
      <c r="F47" s="149" t="s">
        <v>754</v>
      </c>
      <c r="G47" s="193" t="s">
        <v>819</v>
      </c>
      <c r="H47" s="149"/>
      <c r="I47" s="149"/>
      <c r="J47" s="149"/>
      <c r="K47" s="149"/>
      <c r="L47" s="171">
        <v>45740</v>
      </c>
      <c r="M47" s="183">
        <v>45754</v>
      </c>
      <c r="N47" s="171">
        <v>45771</v>
      </c>
      <c r="O47" s="33" t="s">
        <v>1157</v>
      </c>
      <c r="P47" s="284" t="s">
        <v>1158</v>
      </c>
      <c r="Q47" s="295">
        <v>45784</v>
      </c>
      <c r="R47" s="281"/>
      <c r="S47" s="152">
        <v>588</v>
      </c>
      <c r="T47" s="171">
        <v>45779</v>
      </c>
      <c r="U47" s="171"/>
      <c r="V47" s="171">
        <v>45779</v>
      </c>
      <c r="W47" s="179"/>
      <c r="X47" s="183" t="s">
        <v>43</v>
      </c>
      <c r="Y47" s="183" t="s">
        <v>43</v>
      </c>
      <c r="Z47" s="183">
        <v>45789</v>
      </c>
      <c r="AA47" s="214">
        <v>45789</v>
      </c>
      <c r="AB47" s="171">
        <v>45796</v>
      </c>
      <c r="AC47" s="146"/>
      <c r="AD47" s="171">
        <v>45792</v>
      </c>
      <c r="AE47" s="171">
        <v>45792</v>
      </c>
      <c r="AF47" s="171">
        <v>45784</v>
      </c>
      <c r="AG47" s="169" t="s">
        <v>1159</v>
      </c>
      <c r="AH47" s="171" t="s">
        <v>43</v>
      </c>
      <c r="AI47" s="171" t="s">
        <v>43</v>
      </c>
      <c r="AJ47" s="146"/>
      <c r="AK47" s="171">
        <v>45792</v>
      </c>
      <c r="AL47" s="171">
        <v>45824</v>
      </c>
      <c r="AM47" s="179"/>
      <c r="AN47" s="179"/>
      <c r="AO47" s="249" t="s">
        <v>1160</v>
      </c>
      <c r="AP47" s="152">
        <v>555.22</v>
      </c>
      <c r="AQ47" s="171">
        <v>45824</v>
      </c>
      <c r="AR47" s="171">
        <v>45827</v>
      </c>
      <c r="AS47" s="171" t="s">
        <v>43</v>
      </c>
      <c r="AT47" s="169" t="s">
        <v>1161</v>
      </c>
      <c r="AU47" s="179"/>
      <c r="AV47" s="171" t="s">
        <v>43</v>
      </c>
      <c r="AW47" s="171" t="s">
        <v>43</v>
      </c>
      <c r="AX47" s="179"/>
      <c r="AY47" s="149" t="s">
        <v>677</v>
      </c>
      <c r="AZ47" s="179"/>
      <c r="BA47" s="214">
        <f t="shared" si="4"/>
        <v>45845</v>
      </c>
      <c r="BB47" s="179"/>
      <c r="BC47" s="146"/>
      <c r="BD47" s="171">
        <v>45835</v>
      </c>
      <c r="BE47" s="171" t="s">
        <v>258</v>
      </c>
      <c r="BF47" s="149">
        <f t="shared" si="3"/>
        <v>6.5714285714285712</v>
      </c>
      <c r="BG47" s="33" t="s">
        <v>1042</v>
      </c>
    </row>
    <row r="48" spans="1:59" ht="70" x14ac:dyDescent="0.15">
      <c r="A48" s="132" t="s">
        <v>1162</v>
      </c>
      <c r="B48" s="33" t="s">
        <v>1163</v>
      </c>
      <c r="C48" s="33" t="s">
        <v>9</v>
      </c>
      <c r="D48" s="33" t="s">
        <v>1164</v>
      </c>
      <c r="E48" s="33"/>
      <c r="F48" s="33" t="s">
        <v>1165</v>
      </c>
      <c r="G48" s="193" t="s">
        <v>847</v>
      </c>
      <c r="H48" s="33" t="s">
        <v>393</v>
      </c>
      <c r="I48" s="33"/>
      <c r="J48" s="33"/>
      <c r="K48" s="33"/>
      <c r="L48" s="171">
        <v>45715</v>
      </c>
      <c r="M48" s="183">
        <v>45726</v>
      </c>
      <c r="N48" s="169">
        <v>45737</v>
      </c>
      <c r="O48" s="33" t="s">
        <v>1166</v>
      </c>
      <c r="P48" s="33" t="s">
        <v>1094</v>
      </c>
      <c r="Q48" s="33"/>
      <c r="R48" s="146"/>
      <c r="S48" s="247">
        <v>578</v>
      </c>
      <c r="T48" s="183">
        <v>45743</v>
      </c>
      <c r="U48" s="183"/>
      <c r="V48" s="183">
        <v>45743</v>
      </c>
      <c r="W48" s="179"/>
      <c r="X48" s="183">
        <v>45747</v>
      </c>
      <c r="Y48" s="179"/>
      <c r="Z48" s="171">
        <v>45748</v>
      </c>
      <c r="AA48" s="214">
        <v>45784</v>
      </c>
      <c r="AB48" s="171">
        <v>45791</v>
      </c>
      <c r="AC48" s="171"/>
      <c r="AD48" s="171">
        <v>45789</v>
      </c>
      <c r="AE48" s="171">
        <v>45789</v>
      </c>
      <c r="AF48" s="171">
        <v>45772</v>
      </c>
      <c r="AG48" s="169" t="s">
        <v>1167</v>
      </c>
      <c r="AH48" s="169" t="s">
        <v>43</v>
      </c>
      <c r="AI48" s="149" t="s">
        <v>43</v>
      </c>
      <c r="AJ48" s="146"/>
      <c r="AK48" s="171">
        <v>45789</v>
      </c>
      <c r="AL48" s="171">
        <v>45820</v>
      </c>
      <c r="AM48" s="171">
        <v>45790</v>
      </c>
      <c r="AN48" s="171">
        <v>45820</v>
      </c>
      <c r="AO48" s="249" t="s">
        <v>1168</v>
      </c>
      <c r="AP48" s="152">
        <v>507.47</v>
      </c>
      <c r="AQ48" s="171">
        <v>45820</v>
      </c>
      <c r="AR48" s="171">
        <v>45824</v>
      </c>
      <c r="AS48" s="179"/>
      <c r="AT48" s="169" t="s">
        <v>1169</v>
      </c>
      <c r="AU48" s="179"/>
      <c r="AV48" s="171" t="s">
        <v>43</v>
      </c>
      <c r="AW48" s="171" t="s">
        <v>43</v>
      </c>
      <c r="AX48" s="179"/>
      <c r="AY48" s="273" t="s">
        <v>677</v>
      </c>
      <c r="AZ48" s="179"/>
      <c r="BA48" s="214">
        <f t="shared" si="4"/>
        <v>45840</v>
      </c>
      <c r="BB48" s="179"/>
      <c r="BC48" s="146"/>
      <c r="BD48" s="171">
        <v>45835</v>
      </c>
      <c r="BE48" s="171" t="s">
        <v>258</v>
      </c>
      <c r="BF48" s="149">
        <f t="shared" si="3"/>
        <v>7.2857142857142856</v>
      </c>
      <c r="BG48" s="33" t="s">
        <v>1042</v>
      </c>
    </row>
    <row r="49" spans="1:59" s="156" customFormat="1" ht="126" x14ac:dyDescent="0.2">
      <c r="A49" s="132" t="s">
        <v>1170</v>
      </c>
      <c r="B49" s="282" t="s">
        <v>1171</v>
      </c>
      <c r="C49" s="282" t="s">
        <v>9</v>
      </c>
      <c r="D49" s="282" t="s">
        <v>1172</v>
      </c>
      <c r="E49" s="282"/>
      <c r="F49" s="282" t="s">
        <v>1173</v>
      </c>
      <c r="G49" s="283" t="s">
        <v>1174</v>
      </c>
      <c r="H49" s="282"/>
      <c r="I49" s="282"/>
      <c r="J49" s="282"/>
      <c r="K49" s="282"/>
      <c r="L49" s="318">
        <v>45762</v>
      </c>
      <c r="M49" s="318">
        <v>45772</v>
      </c>
      <c r="N49" s="318">
        <v>45771</v>
      </c>
      <c r="O49" s="282" t="s">
        <v>1175</v>
      </c>
      <c r="P49" s="284" t="s">
        <v>1176</v>
      </c>
      <c r="Q49" s="295">
        <v>45776</v>
      </c>
      <c r="R49" s="319"/>
      <c r="S49" s="320">
        <v>588</v>
      </c>
      <c r="T49" s="171">
        <v>45778</v>
      </c>
      <c r="U49" s="171"/>
      <c r="V49" s="171">
        <v>45778</v>
      </c>
      <c r="W49" s="171"/>
      <c r="X49" s="171">
        <v>45783</v>
      </c>
      <c r="Y49" s="171">
        <v>45804</v>
      </c>
      <c r="Z49" s="171">
        <v>45783</v>
      </c>
      <c r="AA49" s="214">
        <v>45783</v>
      </c>
      <c r="AB49" s="171">
        <v>45790</v>
      </c>
      <c r="AC49" s="149"/>
      <c r="AD49" s="171">
        <v>45786</v>
      </c>
      <c r="AE49" s="171">
        <v>45786</v>
      </c>
      <c r="AF49" s="171">
        <v>45786</v>
      </c>
      <c r="AG49" s="169" t="s">
        <v>1177</v>
      </c>
      <c r="AH49" s="171" t="s">
        <v>43</v>
      </c>
      <c r="AI49" s="149" t="s">
        <v>43</v>
      </c>
      <c r="AJ49" s="149"/>
      <c r="AK49" s="171">
        <v>45786</v>
      </c>
      <c r="AL49" s="171">
        <v>45819</v>
      </c>
      <c r="AM49" s="171">
        <v>45789</v>
      </c>
      <c r="AN49" s="171">
        <v>45819</v>
      </c>
      <c r="AO49" s="249" t="s">
        <v>1178</v>
      </c>
      <c r="AP49" s="152">
        <v>507.47</v>
      </c>
      <c r="AQ49" s="171">
        <v>45819</v>
      </c>
      <c r="AR49" s="171">
        <v>45820</v>
      </c>
      <c r="AS49" s="171"/>
      <c r="AT49" s="169">
        <v>45832</v>
      </c>
      <c r="AU49" s="171"/>
      <c r="AV49" s="171" t="s">
        <v>43</v>
      </c>
      <c r="AW49" s="171" t="s">
        <v>43</v>
      </c>
      <c r="AX49" s="171"/>
      <c r="AY49" s="149" t="s">
        <v>677</v>
      </c>
      <c r="AZ49" s="171" t="s">
        <v>43</v>
      </c>
      <c r="BA49" s="214">
        <f t="shared" si="4"/>
        <v>45839</v>
      </c>
      <c r="BB49" s="171"/>
      <c r="BC49" s="149"/>
      <c r="BD49" s="171">
        <v>45835</v>
      </c>
      <c r="BE49" s="171" t="s">
        <v>258</v>
      </c>
      <c r="BF49" s="149">
        <f t="shared" si="3"/>
        <v>7.4285714285714288</v>
      </c>
      <c r="BG49" s="33" t="s">
        <v>1042</v>
      </c>
    </row>
    <row r="50" spans="1:59" s="156" customFormat="1" ht="140" x14ac:dyDescent="0.2">
      <c r="A50" s="271" t="s">
        <v>1179</v>
      </c>
      <c r="B50" s="282" t="s">
        <v>1180</v>
      </c>
      <c r="C50" s="285" t="s">
        <v>9</v>
      </c>
      <c r="D50" s="282" t="s">
        <v>1181</v>
      </c>
      <c r="E50" s="285"/>
      <c r="F50" s="282" t="s">
        <v>1182</v>
      </c>
      <c r="G50" s="283" t="s">
        <v>1183</v>
      </c>
      <c r="H50" s="282" t="s">
        <v>1184</v>
      </c>
      <c r="I50" s="285"/>
      <c r="J50" s="285"/>
      <c r="K50" s="285"/>
      <c r="L50" s="286">
        <v>45754</v>
      </c>
      <c r="M50" s="287">
        <v>45768</v>
      </c>
      <c r="N50" s="286">
        <v>45770</v>
      </c>
      <c r="O50" s="282" t="s">
        <v>1185</v>
      </c>
      <c r="P50" s="285" t="s">
        <v>800</v>
      </c>
      <c r="Q50" s="288">
        <v>45778</v>
      </c>
      <c r="R50" s="285"/>
      <c r="S50" s="289">
        <v>588</v>
      </c>
      <c r="T50" s="290">
        <v>45777</v>
      </c>
      <c r="U50" s="290"/>
      <c r="V50" s="290">
        <v>45777</v>
      </c>
      <c r="W50" s="290"/>
      <c r="X50" s="291" t="s">
        <v>43</v>
      </c>
      <c r="Y50" s="291" t="s">
        <v>43</v>
      </c>
      <c r="Z50" s="291">
        <v>45786</v>
      </c>
      <c r="AA50" s="292">
        <v>45786</v>
      </c>
      <c r="AB50" s="290">
        <v>45793</v>
      </c>
      <c r="AC50" s="293"/>
      <c r="AD50" s="290">
        <v>45791</v>
      </c>
      <c r="AE50" s="290">
        <v>45791</v>
      </c>
      <c r="AF50" s="171">
        <v>45805</v>
      </c>
      <c r="AG50" s="169" t="s">
        <v>1186</v>
      </c>
      <c r="AH50" s="290" t="s">
        <v>43</v>
      </c>
      <c r="AI50" s="293" t="s">
        <v>43</v>
      </c>
      <c r="AJ50" s="293" t="s">
        <v>43</v>
      </c>
      <c r="AK50" s="290">
        <v>45791</v>
      </c>
      <c r="AL50" s="290">
        <v>45821</v>
      </c>
      <c r="AM50" s="290">
        <v>45791</v>
      </c>
      <c r="AN50" s="290">
        <v>45821</v>
      </c>
      <c r="AO50" s="249" t="s">
        <v>1187</v>
      </c>
      <c r="AP50" s="152">
        <v>555.22</v>
      </c>
      <c r="AQ50" s="290">
        <v>45821</v>
      </c>
      <c r="AR50" s="171">
        <v>45825</v>
      </c>
      <c r="AS50" s="171"/>
      <c r="AT50" s="169" t="s">
        <v>1188</v>
      </c>
      <c r="AU50" s="290"/>
      <c r="AV50" s="290" t="s">
        <v>43</v>
      </c>
      <c r="AW50" s="290" t="s">
        <v>43</v>
      </c>
      <c r="AX50" s="290"/>
      <c r="AY50" s="293" t="s">
        <v>677</v>
      </c>
      <c r="AZ50" s="290"/>
      <c r="BA50" s="214">
        <f t="shared" si="4"/>
        <v>45842</v>
      </c>
      <c r="BB50" s="290"/>
      <c r="BC50" s="293"/>
      <c r="BD50" s="290">
        <v>45839</v>
      </c>
      <c r="BE50" s="293" t="s">
        <v>258</v>
      </c>
      <c r="BF50" s="149">
        <f t="shared" si="3"/>
        <v>7.5714285714285712</v>
      </c>
      <c r="BG50" s="33" t="s">
        <v>1042</v>
      </c>
    </row>
    <row r="51" spans="1:59" ht="126" x14ac:dyDescent="0.15">
      <c r="A51" s="132" t="s">
        <v>1189</v>
      </c>
      <c r="B51" s="33" t="s">
        <v>1190</v>
      </c>
      <c r="C51" s="149" t="s">
        <v>9</v>
      </c>
      <c r="D51" s="149"/>
      <c r="E51" s="149"/>
      <c r="F51" s="149" t="s">
        <v>1191</v>
      </c>
      <c r="G51" s="193" t="s">
        <v>968</v>
      </c>
      <c r="H51" s="146"/>
      <c r="I51" s="146"/>
      <c r="J51" s="146"/>
      <c r="K51" s="146"/>
      <c r="L51" s="171">
        <v>45742</v>
      </c>
      <c r="M51" s="33" t="s">
        <v>969</v>
      </c>
      <c r="N51" s="171">
        <v>45777</v>
      </c>
      <c r="O51" s="33" t="s">
        <v>1192</v>
      </c>
      <c r="P51" s="284" t="s">
        <v>906</v>
      </c>
      <c r="Q51" s="295">
        <v>45784</v>
      </c>
      <c r="R51" s="281"/>
      <c r="S51" s="152">
        <v>588</v>
      </c>
      <c r="T51" s="171">
        <v>45786</v>
      </c>
      <c r="U51" s="171"/>
      <c r="V51" s="171">
        <v>45786</v>
      </c>
      <c r="W51" s="179"/>
      <c r="X51" s="183" t="s">
        <v>43</v>
      </c>
      <c r="Y51" s="183" t="s">
        <v>43</v>
      </c>
      <c r="Z51" s="183">
        <v>45790</v>
      </c>
      <c r="AA51" s="214">
        <v>45790</v>
      </c>
      <c r="AB51" s="171">
        <v>45797</v>
      </c>
      <c r="AC51" s="146"/>
      <c r="AD51" s="171">
        <v>45797</v>
      </c>
      <c r="AE51" s="171">
        <v>45797</v>
      </c>
      <c r="AF51" s="171">
        <v>45799</v>
      </c>
      <c r="AG51" s="270" t="s">
        <v>812</v>
      </c>
      <c r="AH51" s="152">
        <v>6371.21</v>
      </c>
      <c r="AI51" s="191" t="s">
        <v>43</v>
      </c>
      <c r="AJ51" s="171"/>
      <c r="AK51" s="171">
        <v>45797</v>
      </c>
      <c r="AL51" s="171">
        <v>45826</v>
      </c>
      <c r="AM51" s="171">
        <v>45798</v>
      </c>
      <c r="AN51" s="171">
        <v>45826</v>
      </c>
      <c r="AO51" s="249" t="s">
        <v>1193</v>
      </c>
      <c r="AP51" s="152">
        <v>555.22</v>
      </c>
      <c r="AQ51" s="171">
        <v>45826</v>
      </c>
      <c r="AR51" s="171">
        <v>45832</v>
      </c>
      <c r="AS51" s="171" t="s">
        <v>43</v>
      </c>
      <c r="AT51" s="169" t="s">
        <v>1194</v>
      </c>
      <c r="AU51" s="179"/>
      <c r="AV51" s="171" t="s">
        <v>43</v>
      </c>
      <c r="AW51" s="171" t="s">
        <v>43</v>
      </c>
      <c r="AX51" s="179"/>
      <c r="AY51" s="149" t="s">
        <v>677</v>
      </c>
      <c r="AZ51" s="179"/>
      <c r="BA51" s="214">
        <f t="shared" si="4"/>
        <v>45846</v>
      </c>
      <c r="BB51" s="179"/>
      <c r="BC51" s="146"/>
      <c r="BD51" s="290">
        <v>45840</v>
      </c>
      <c r="BE51" s="293" t="s">
        <v>258</v>
      </c>
      <c r="BF51" s="149">
        <f t="shared" si="3"/>
        <v>7.1428571428571432</v>
      </c>
      <c r="BG51" s="33" t="s">
        <v>1042</v>
      </c>
    </row>
    <row r="52" spans="1:59" ht="84" x14ac:dyDescent="0.15">
      <c r="A52" s="132" t="s">
        <v>1195</v>
      </c>
      <c r="B52" s="33" t="s">
        <v>1196</v>
      </c>
      <c r="C52" s="33" t="s">
        <v>9</v>
      </c>
      <c r="D52" s="33"/>
      <c r="E52" s="33"/>
      <c r="F52" s="33" t="s">
        <v>1197</v>
      </c>
      <c r="G52" s="193" t="s">
        <v>1183</v>
      </c>
      <c r="H52" s="33"/>
      <c r="I52" s="33"/>
      <c r="J52" s="33"/>
      <c r="K52" s="146"/>
      <c r="L52" s="169">
        <v>45770</v>
      </c>
      <c r="M52" s="170">
        <v>45784</v>
      </c>
      <c r="N52" s="169">
        <v>45793</v>
      </c>
      <c r="O52" s="33" t="s">
        <v>1198</v>
      </c>
      <c r="P52" s="33" t="s">
        <v>800</v>
      </c>
      <c r="Q52" s="295">
        <v>45800</v>
      </c>
      <c r="R52" s="33"/>
      <c r="S52" s="137">
        <v>588</v>
      </c>
      <c r="T52" s="169">
        <v>45798</v>
      </c>
      <c r="U52" s="169"/>
      <c r="V52" s="169">
        <v>45798</v>
      </c>
      <c r="W52" s="169"/>
      <c r="X52" s="183" t="s">
        <v>43</v>
      </c>
      <c r="Y52" s="183" t="s">
        <v>43</v>
      </c>
      <c r="Z52" s="183">
        <v>45810</v>
      </c>
      <c r="AA52" s="214">
        <v>45810</v>
      </c>
      <c r="AB52" s="171">
        <v>45817</v>
      </c>
      <c r="AC52" s="171"/>
      <c r="AD52" s="171">
        <v>45814</v>
      </c>
      <c r="AE52" s="171">
        <v>45814</v>
      </c>
      <c r="AF52" s="171">
        <v>45807</v>
      </c>
      <c r="AG52" s="270" t="s">
        <v>1058</v>
      </c>
      <c r="AH52" s="152">
        <v>7820</v>
      </c>
      <c r="AI52" s="191" t="s">
        <v>43</v>
      </c>
      <c r="AJ52" s="146"/>
      <c r="AK52" s="171">
        <v>45814</v>
      </c>
      <c r="AL52" s="171">
        <v>45842</v>
      </c>
      <c r="AM52" s="171">
        <v>45817</v>
      </c>
      <c r="AN52" s="171">
        <v>45842</v>
      </c>
      <c r="AO52" s="249" t="s">
        <v>1199</v>
      </c>
      <c r="AP52" s="152">
        <v>555.22</v>
      </c>
      <c r="AQ52" s="249">
        <v>45842</v>
      </c>
      <c r="AR52" s="249">
        <v>45845</v>
      </c>
      <c r="AS52" s="249" t="s">
        <v>43</v>
      </c>
      <c r="AT52" s="169">
        <v>45821</v>
      </c>
      <c r="AU52" s="179"/>
      <c r="AV52" s="171" t="s">
        <v>43</v>
      </c>
      <c r="AW52" s="171" t="s">
        <v>43</v>
      </c>
      <c r="AX52" s="179"/>
      <c r="AY52" s="149" t="s">
        <v>677</v>
      </c>
      <c r="AZ52" s="179"/>
      <c r="BA52" s="214">
        <f>SUM(AA52+7*8)</f>
        <v>45866</v>
      </c>
      <c r="BB52" s="179"/>
      <c r="BC52" s="146"/>
      <c r="BD52" s="290">
        <v>45855</v>
      </c>
      <c r="BE52" s="293" t="s">
        <v>322</v>
      </c>
      <c r="BF52" s="149">
        <f t="shared" si="3"/>
        <v>6.4285714285714288</v>
      </c>
      <c r="BG52" s="33" t="s">
        <v>1042</v>
      </c>
    </row>
    <row r="53" spans="1:59" ht="98" x14ac:dyDescent="0.15">
      <c r="A53" s="132" t="s">
        <v>1200</v>
      </c>
      <c r="B53" s="33" t="s">
        <v>1201</v>
      </c>
      <c r="C53" s="33" t="s">
        <v>9</v>
      </c>
      <c r="D53" s="33" t="s">
        <v>1202</v>
      </c>
      <c r="E53" s="146"/>
      <c r="F53" s="33" t="s">
        <v>1203</v>
      </c>
      <c r="G53" s="193" t="s">
        <v>819</v>
      </c>
      <c r="H53" s="146"/>
      <c r="I53" s="146"/>
      <c r="J53" s="146"/>
      <c r="K53" s="146"/>
      <c r="L53" s="169">
        <v>45775</v>
      </c>
      <c r="M53" s="169">
        <v>45789</v>
      </c>
      <c r="N53" s="169">
        <v>45807</v>
      </c>
      <c r="O53" s="33" t="s">
        <v>1204</v>
      </c>
      <c r="P53" s="33" t="s">
        <v>1205</v>
      </c>
      <c r="Q53" s="295">
        <v>45833</v>
      </c>
      <c r="R53" s="146"/>
      <c r="S53" s="152">
        <v>588</v>
      </c>
      <c r="T53" s="169">
        <v>45811</v>
      </c>
      <c r="U53" s="169"/>
      <c r="V53" s="169">
        <v>45811</v>
      </c>
      <c r="W53" s="169"/>
      <c r="X53" s="183" t="s">
        <v>43</v>
      </c>
      <c r="Y53" s="183" t="s">
        <v>43</v>
      </c>
      <c r="Z53" s="183" t="s">
        <v>1206</v>
      </c>
      <c r="AA53" s="258">
        <v>45818</v>
      </c>
      <c r="AB53" s="171">
        <v>45825</v>
      </c>
      <c r="AC53" s="146"/>
      <c r="AD53" s="171">
        <v>45824</v>
      </c>
      <c r="AE53" s="171">
        <v>45824</v>
      </c>
      <c r="AF53" s="171">
        <v>45818</v>
      </c>
      <c r="AG53" s="169" t="s">
        <v>1207</v>
      </c>
      <c r="AH53" s="152" t="s">
        <v>43</v>
      </c>
      <c r="AI53" s="191" t="s">
        <v>43</v>
      </c>
      <c r="AJ53" s="171"/>
      <c r="AK53" s="171">
        <v>45824</v>
      </c>
      <c r="AL53" s="171">
        <v>45854</v>
      </c>
      <c r="AM53" s="171">
        <v>45825</v>
      </c>
      <c r="AN53" s="171">
        <v>45854</v>
      </c>
      <c r="AO53" s="249" t="s">
        <v>43</v>
      </c>
      <c r="AP53" s="249" t="s">
        <v>43</v>
      </c>
      <c r="AQ53" s="249" t="s">
        <v>43</v>
      </c>
      <c r="AR53" s="249">
        <v>45856</v>
      </c>
      <c r="AS53" s="249"/>
      <c r="AT53" s="169" t="s">
        <v>1208</v>
      </c>
      <c r="AU53" s="179"/>
      <c r="AV53" s="171" t="s">
        <v>43</v>
      </c>
      <c r="AW53" s="171" t="s">
        <v>43</v>
      </c>
      <c r="AX53" s="179"/>
      <c r="AY53" s="149" t="s">
        <v>677</v>
      </c>
      <c r="AZ53" s="179"/>
      <c r="BA53" s="214">
        <f>SUM(AA53+7*8)</f>
        <v>45874</v>
      </c>
      <c r="BB53" s="179"/>
      <c r="BC53" s="146"/>
      <c r="BD53" s="290">
        <v>45861</v>
      </c>
      <c r="BE53" s="293" t="s">
        <v>258</v>
      </c>
      <c r="BF53" s="149">
        <f t="shared" si="3"/>
        <v>6.1428571428571432</v>
      </c>
      <c r="BG53" s="33" t="s">
        <v>1042</v>
      </c>
    </row>
    <row r="54" spans="1:59" ht="126" x14ac:dyDescent="0.15">
      <c r="A54" s="132" t="s">
        <v>1209</v>
      </c>
      <c r="B54" s="33" t="s">
        <v>1096</v>
      </c>
      <c r="C54" s="33" t="s">
        <v>9</v>
      </c>
      <c r="D54" s="33" t="s">
        <v>1210</v>
      </c>
      <c r="E54" s="146"/>
      <c r="F54" s="33" t="s">
        <v>1098</v>
      </c>
      <c r="G54" s="193" t="s">
        <v>819</v>
      </c>
      <c r="H54" s="146"/>
      <c r="I54" s="146"/>
      <c r="J54" s="146"/>
      <c r="K54" s="146"/>
      <c r="L54" s="169">
        <v>45800</v>
      </c>
      <c r="M54" s="169">
        <v>45814</v>
      </c>
      <c r="N54" s="169">
        <v>45820</v>
      </c>
      <c r="O54" s="33" t="s">
        <v>1211</v>
      </c>
      <c r="P54" s="33" t="s">
        <v>1212</v>
      </c>
      <c r="Q54" s="295">
        <v>45860</v>
      </c>
      <c r="R54" s="146"/>
      <c r="S54" s="152">
        <v>588</v>
      </c>
      <c r="T54" s="169">
        <v>45826</v>
      </c>
      <c r="U54" s="169"/>
      <c r="V54" s="169">
        <v>45826</v>
      </c>
      <c r="W54" s="169"/>
      <c r="X54" s="169">
        <v>45833</v>
      </c>
      <c r="Y54" s="169">
        <v>45854</v>
      </c>
      <c r="Z54" s="169">
        <v>45834</v>
      </c>
      <c r="AA54" s="258">
        <v>45834</v>
      </c>
      <c r="AB54" s="171">
        <v>45841</v>
      </c>
      <c r="AC54" s="146"/>
      <c r="AD54" s="171">
        <v>45839</v>
      </c>
      <c r="AE54" s="171">
        <v>45839</v>
      </c>
      <c r="AF54" s="171">
        <v>45833</v>
      </c>
      <c r="AG54" s="169" t="s">
        <v>1213</v>
      </c>
      <c r="AH54" s="152" t="s">
        <v>43</v>
      </c>
      <c r="AI54" s="191" t="s">
        <v>43</v>
      </c>
      <c r="AJ54" s="146"/>
      <c r="AK54" s="171">
        <v>45839</v>
      </c>
      <c r="AL54" s="171">
        <v>45869</v>
      </c>
      <c r="AM54" s="171">
        <v>45840</v>
      </c>
      <c r="AN54" s="171">
        <v>45869</v>
      </c>
      <c r="AO54" s="249" t="s">
        <v>1214</v>
      </c>
      <c r="AP54" s="152">
        <v>555</v>
      </c>
      <c r="AQ54" s="249">
        <v>45869</v>
      </c>
      <c r="AR54" s="249">
        <v>45870</v>
      </c>
      <c r="AS54" s="179"/>
      <c r="AT54" s="169">
        <v>45861</v>
      </c>
      <c r="AU54" s="179"/>
      <c r="AV54" s="171" t="s">
        <v>43</v>
      </c>
      <c r="AW54" s="171" t="s">
        <v>43</v>
      </c>
      <c r="AX54" s="179"/>
      <c r="AY54" s="149" t="s">
        <v>677</v>
      </c>
      <c r="AZ54" s="179"/>
      <c r="BA54" s="214">
        <f>SUM(AA54+7*8)</f>
        <v>45890</v>
      </c>
      <c r="BB54" s="179"/>
      <c r="BC54" s="146"/>
      <c r="BD54" s="290">
        <v>45870</v>
      </c>
      <c r="BE54" s="293" t="s">
        <v>258</v>
      </c>
      <c r="BF54" s="149">
        <f t="shared" si="3"/>
        <v>5.1428571428571432</v>
      </c>
      <c r="BG54" s="33" t="s">
        <v>1042</v>
      </c>
    </row>
    <row r="55" spans="1:59" ht="84" x14ac:dyDescent="0.15">
      <c r="A55" s="132" t="s">
        <v>1215</v>
      </c>
      <c r="B55" s="33" t="s">
        <v>1216</v>
      </c>
      <c r="C55" s="149" t="s">
        <v>9</v>
      </c>
      <c r="D55" s="33" t="s">
        <v>1097</v>
      </c>
      <c r="E55" s="146"/>
      <c r="F55" s="149" t="s">
        <v>1217</v>
      </c>
      <c r="G55" s="274" t="s">
        <v>819</v>
      </c>
      <c r="H55" s="151" t="s">
        <v>393</v>
      </c>
      <c r="I55" s="146"/>
      <c r="J55" s="146"/>
      <c r="K55" s="152">
        <v>3468</v>
      </c>
      <c r="L55" s="254">
        <v>45694</v>
      </c>
      <c r="M55" s="183">
        <v>45709</v>
      </c>
      <c r="N55" s="171">
        <v>45713</v>
      </c>
      <c r="O55" s="33" t="s">
        <v>1218</v>
      </c>
      <c r="P55" s="33" t="s">
        <v>1219</v>
      </c>
      <c r="Q55" s="298">
        <v>45833</v>
      </c>
      <c r="R55" s="146"/>
      <c r="S55" s="152">
        <v>3468</v>
      </c>
      <c r="T55" s="171">
        <v>45720</v>
      </c>
      <c r="U55" s="171"/>
      <c r="V55" s="171">
        <v>45720</v>
      </c>
      <c r="W55" s="179"/>
      <c r="X55" s="171">
        <v>45723</v>
      </c>
      <c r="Y55" s="171">
        <v>45744</v>
      </c>
      <c r="Z55" s="171">
        <v>45726</v>
      </c>
      <c r="AA55" s="260">
        <v>45820</v>
      </c>
      <c r="AB55" s="171">
        <v>45825</v>
      </c>
      <c r="AC55" s="146"/>
      <c r="AD55" s="171">
        <v>45826</v>
      </c>
      <c r="AE55" s="171">
        <v>45826</v>
      </c>
      <c r="AF55" s="171">
        <v>45726</v>
      </c>
      <c r="AG55" s="184" t="s">
        <v>812</v>
      </c>
      <c r="AH55" s="152">
        <v>24429</v>
      </c>
      <c r="AI55" s="191" t="s">
        <v>43</v>
      </c>
      <c r="AJ55" s="191" t="s">
        <v>1220</v>
      </c>
      <c r="AK55" s="171">
        <v>45826</v>
      </c>
      <c r="AL55" s="171">
        <v>45856</v>
      </c>
      <c r="AM55" s="171">
        <v>45826</v>
      </c>
      <c r="AN55" s="171">
        <v>45856</v>
      </c>
      <c r="AO55" s="171" t="s">
        <v>43</v>
      </c>
      <c r="AP55" s="171" t="s">
        <v>43</v>
      </c>
      <c r="AQ55" s="171" t="s">
        <v>43</v>
      </c>
      <c r="AR55" s="171">
        <v>45860</v>
      </c>
      <c r="AS55" s="179"/>
      <c r="AT55" s="169" t="s">
        <v>1221</v>
      </c>
      <c r="AU55" s="179"/>
      <c r="AV55" s="171" t="s">
        <v>43</v>
      </c>
      <c r="AW55" s="171" t="s">
        <v>43</v>
      </c>
      <c r="AX55" s="179"/>
      <c r="AY55" s="149" t="s">
        <v>677</v>
      </c>
      <c r="AZ55" s="179"/>
      <c r="BA55" s="214">
        <v>45876</v>
      </c>
      <c r="BB55" s="179"/>
      <c r="BC55" s="146"/>
      <c r="BD55" s="171">
        <v>45876</v>
      </c>
      <c r="BE55" s="149" t="s">
        <v>322</v>
      </c>
      <c r="BF55" s="149">
        <f t="shared" si="3"/>
        <v>8</v>
      </c>
      <c r="BG55" s="33" t="s">
        <v>1042</v>
      </c>
    </row>
    <row r="56" spans="1:59" ht="84" x14ac:dyDescent="0.15">
      <c r="A56" s="132" t="s">
        <v>1222</v>
      </c>
      <c r="B56" s="33" t="s">
        <v>1223</v>
      </c>
      <c r="C56" s="33" t="s">
        <v>9</v>
      </c>
      <c r="D56" s="33" t="s">
        <v>1114</v>
      </c>
      <c r="E56" s="146"/>
      <c r="F56" s="33" t="s">
        <v>1224</v>
      </c>
      <c r="G56" s="193" t="s">
        <v>828</v>
      </c>
      <c r="H56" s="33" t="s">
        <v>1225</v>
      </c>
      <c r="I56" s="146"/>
      <c r="J56" s="146"/>
      <c r="K56" s="150">
        <v>3025</v>
      </c>
      <c r="L56" s="170" t="s">
        <v>1114</v>
      </c>
      <c r="M56" s="169"/>
      <c r="N56" s="169">
        <v>45826</v>
      </c>
      <c r="O56" s="33" t="s">
        <v>1226</v>
      </c>
      <c r="P56" s="33" t="s">
        <v>1227</v>
      </c>
      <c r="Q56" s="295">
        <v>45860</v>
      </c>
      <c r="R56" s="146"/>
      <c r="S56" s="269">
        <v>2940</v>
      </c>
      <c r="T56" s="169">
        <v>45833</v>
      </c>
      <c r="U56" s="169"/>
      <c r="V56" s="169">
        <v>45833</v>
      </c>
      <c r="W56" s="169"/>
      <c r="X56" s="169">
        <v>45835</v>
      </c>
      <c r="Y56" s="169">
        <v>45856</v>
      </c>
      <c r="Z56" s="169">
        <v>45839</v>
      </c>
      <c r="AA56" s="258">
        <v>45839</v>
      </c>
      <c r="AB56" s="171">
        <v>45846</v>
      </c>
      <c r="AC56" s="171"/>
      <c r="AD56" s="171">
        <v>45842</v>
      </c>
      <c r="AE56" s="171">
        <v>45842</v>
      </c>
      <c r="AF56" s="171">
        <v>45840</v>
      </c>
      <c r="AG56" s="270" t="s">
        <v>812</v>
      </c>
      <c r="AH56" s="152">
        <v>14320.38</v>
      </c>
      <c r="AI56" s="191" t="s">
        <v>43</v>
      </c>
      <c r="AJ56" s="146"/>
      <c r="AK56" s="171">
        <v>45842</v>
      </c>
      <c r="AL56" s="171">
        <v>45873</v>
      </c>
      <c r="AM56" s="171">
        <v>45845</v>
      </c>
      <c r="AN56" s="171">
        <v>45873</v>
      </c>
      <c r="AO56" s="169" t="s">
        <v>1228</v>
      </c>
      <c r="AP56" s="152">
        <v>555.22</v>
      </c>
      <c r="AQ56" s="171">
        <v>45873</v>
      </c>
      <c r="AR56" s="171">
        <v>45874</v>
      </c>
      <c r="AS56" s="171"/>
      <c r="AT56" s="171">
        <v>45861</v>
      </c>
      <c r="AU56" s="171"/>
      <c r="AV56" s="171" t="s">
        <v>43</v>
      </c>
      <c r="AW56" s="171" t="s">
        <v>43</v>
      </c>
      <c r="AX56" s="179"/>
      <c r="AY56" s="149" t="s">
        <v>677</v>
      </c>
      <c r="AZ56" s="179"/>
      <c r="BA56" s="214">
        <f>SUM(AA56+7*8)</f>
        <v>45895</v>
      </c>
      <c r="BB56" s="179"/>
      <c r="BC56" s="146"/>
      <c r="BD56" s="171">
        <v>45877</v>
      </c>
      <c r="BE56" s="149" t="s">
        <v>322</v>
      </c>
      <c r="BF56" s="149">
        <f t="shared" si="3"/>
        <v>5.4285714285714288</v>
      </c>
      <c r="BG56" s="33" t="s">
        <v>1042</v>
      </c>
    </row>
    <row r="57" spans="1:59" ht="140" x14ac:dyDescent="0.15">
      <c r="A57" s="132" t="s">
        <v>1229</v>
      </c>
      <c r="B57" s="33" t="s">
        <v>1230</v>
      </c>
      <c r="C57" s="33" t="s">
        <v>9</v>
      </c>
      <c r="D57" s="33"/>
      <c r="E57" s="33"/>
      <c r="F57" s="33" t="s">
        <v>1231</v>
      </c>
      <c r="G57" s="193" t="s">
        <v>968</v>
      </c>
      <c r="H57" s="146"/>
      <c r="I57" s="146"/>
      <c r="J57" s="146"/>
      <c r="K57" s="146"/>
      <c r="L57" s="171">
        <v>45742</v>
      </c>
      <c r="M57" s="33" t="s">
        <v>969</v>
      </c>
      <c r="N57" s="298">
        <v>45777</v>
      </c>
      <c r="O57" s="33" t="s">
        <v>1232</v>
      </c>
      <c r="P57" s="284" t="s">
        <v>1158</v>
      </c>
      <c r="Q57" s="295">
        <v>45784</v>
      </c>
      <c r="R57" s="281"/>
      <c r="S57" s="152">
        <v>588</v>
      </c>
      <c r="T57" s="171">
        <v>45785</v>
      </c>
      <c r="U57" s="171"/>
      <c r="V57" s="171">
        <v>45785</v>
      </c>
      <c r="W57" s="179"/>
      <c r="X57" s="171">
        <v>45789</v>
      </c>
      <c r="Y57" s="171">
        <v>45810</v>
      </c>
      <c r="Z57" s="183">
        <v>45790</v>
      </c>
      <c r="AA57" s="214">
        <v>45790</v>
      </c>
      <c r="AB57" s="171">
        <v>45797</v>
      </c>
      <c r="AC57" s="146"/>
      <c r="AD57" s="171">
        <v>45797</v>
      </c>
      <c r="AE57" s="171">
        <v>45797</v>
      </c>
      <c r="AF57" s="171">
        <v>45799</v>
      </c>
      <c r="AG57" s="270" t="s">
        <v>812</v>
      </c>
      <c r="AH57" s="152">
        <v>10080.469999999999</v>
      </c>
      <c r="AI57" s="191" t="s">
        <v>43</v>
      </c>
      <c r="AJ57" s="171"/>
      <c r="AK57" s="171">
        <v>45797</v>
      </c>
      <c r="AL57" s="171">
        <v>45826</v>
      </c>
      <c r="AM57" s="171">
        <v>45798</v>
      </c>
      <c r="AN57" s="171">
        <v>45826</v>
      </c>
      <c r="AO57" s="249" t="s">
        <v>1233</v>
      </c>
      <c r="AP57" s="152">
        <v>555.22</v>
      </c>
      <c r="AQ57" s="171">
        <v>45826</v>
      </c>
      <c r="AR57" s="171">
        <v>45832</v>
      </c>
      <c r="AS57" s="169" t="s">
        <v>1234</v>
      </c>
      <c r="AT57" s="169" t="s">
        <v>1194</v>
      </c>
      <c r="AU57" s="179"/>
      <c r="AV57" s="171" t="s">
        <v>43</v>
      </c>
      <c r="AW57" s="171" t="s">
        <v>43</v>
      </c>
      <c r="AX57" s="179"/>
      <c r="AY57" s="149" t="s">
        <v>677</v>
      </c>
      <c r="AZ57" s="179"/>
      <c r="BA57" s="214">
        <v>45898</v>
      </c>
      <c r="BB57" s="179"/>
      <c r="BC57" s="146"/>
      <c r="BD57" s="171">
        <v>45889</v>
      </c>
      <c r="BE57" s="149" t="s">
        <v>258</v>
      </c>
      <c r="BF57" s="149">
        <f t="shared" si="3"/>
        <v>14.142857142857142</v>
      </c>
      <c r="BG57" s="33" t="s">
        <v>1235</v>
      </c>
    </row>
    <row r="58" spans="1:59" s="136" customFormat="1" ht="196" x14ac:dyDescent="0.2">
      <c r="A58" s="297" t="s">
        <v>1236</v>
      </c>
      <c r="B58" s="158" t="s">
        <v>1237</v>
      </c>
      <c r="C58" s="191" t="s">
        <v>9</v>
      </c>
      <c r="D58" s="33" t="s">
        <v>1238</v>
      </c>
      <c r="E58" s="191"/>
      <c r="F58" s="191" t="s">
        <v>1239</v>
      </c>
      <c r="G58" s="193" t="s">
        <v>903</v>
      </c>
      <c r="H58" s="191"/>
      <c r="I58" s="191"/>
      <c r="J58" s="191"/>
      <c r="K58" s="191"/>
      <c r="L58" s="171">
        <v>45842</v>
      </c>
      <c r="M58" s="171">
        <v>45859</v>
      </c>
      <c r="N58" s="182">
        <v>45908</v>
      </c>
      <c r="O58" s="33" t="s">
        <v>1240</v>
      </c>
      <c r="P58" s="33" t="s">
        <v>1241</v>
      </c>
      <c r="Q58" s="295">
        <v>45911</v>
      </c>
      <c r="R58" s="191"/>
      <c r="S58" s="152">
        <v>588</v>
      </c>
      <c r="T58" s="182">
        <v>45915</v>
      </c>
      <c r="U58" s="182"/>
      <c r="V58" s="182">
        <v>45915</v>
      </c>
      <c r="W58" s="182"/>
      <c r="X58" s="171">
        <v>45924</v>
      </c>
      <c r="Y58" s="171">
        <v>45945</v>
      </c>
      <c r="Z58" s="183" t="s">
        <v>1242</v>
      </c>
      <c r="AA58" s="211" t="s">
        <v>1243</v>
      </c>
      <c r="AB58" s="182"/>
      <c r="AC58" s="191"/>
      <c r="AD58" s="182"/>
      <c r="AE58" s="182"/>
      <c r="AF58" s="182">
        <v>45919</v>
      </c>
      <c r="AG58" s="169" t="s">
        <v>1244</v>
      </c>
      <c r="AH58" s="182" t="s">
        <v>43</v>
      </c>
      <c r="AI58" s="149" t="s">
        <v>43</v>
      </c>
      <c r="AJ58" s="191"/>
      <c r="AK58" s="182"/>
      <c r="AL58" s="182"/>
      <c r="AM58" s="182"/>
      <c r="AN58" s="182"/>
      <c r="AO58" s="182"/>
      <c r="AP58" s="191"/>
      <c r="AQ58" s="182"/>
      <c r="AR58" s="182"/>
      <c r="AS58" s="182"/>
      <c r="AT58" s="182"/>
      <c r="AU58" s="182"/>
      <c r="AV58" s="182"/>
      <c r="AW58" s="182"/>
      <c r="AX58" s="182"/>
      <c r="AY58" s="191"/>
      <c r="AZ58" s="182"/>
      <c r="BA58" s="214"/>
      <c r="BB58" s="182"/>
      <c r="BC58" s="191"/>
      <c r="BD58" s="182"/>
      <c r="BE58" s="191" t="s">
        <v>43</v>
      </c>
      <c r="BF58" s="191"/>
      <c r="BG58" s="33" t="s">
        <v>1042</v>
      </c>
    </row>
    <row r="59" spans="1:59" ht="112" x14ac:dyDescent="0.15">
      <c r="A59" s="132" t="s">
        <v>1245</v>
      </c>
      <c r="B59" s="33" t="s">
        <v>1246</v>
      </c>
      <c r="C59" s="33" t="s">
        <v>9</v>
      </c>
      <c r="D59" s="33" t="s">
        <v>1247</v>
      </c>
      <c r="E59" s="146"/>
      <c r="F59" s="33" t="s">
        <v>1248</v>
      </c>
      <c r="G59" s="193" t="s">
        <v>819</v>
      </c>
      <c r="H59" s="146"/>
      <c r="I59" s="146"/>
      <c r="J59" s="146"/>
      <c r="K59" s="146"/>
      <c r="L59" s="169">
        <v>45771</v>
      </c>
      <c r="M59" s="169">
        <v>45789</v>
      </c>
      <c r="N59" s="169">
        <v>45848</v>
      </c>
      <c r="O59" s="33" t="s">
        <v>1249</v>
      </c>
      <c r="P59" s="33" t="s">
        <v>1123</v>
      </c>
      <c r="Q59" s="295">
        <v>45853</v>
      </c>
      <c r="R59" s="146"/>
      <c r="S59" s="247">
        <v>5292</v>
      </c>
      <c r="T59" s="169">
        <v>45855</v>
      </c>
      <c r="U59" s="169"/>
      <c r="V59" s="169">
        <v>45855</v>
      </c>
      <c r="W59" s="179"/>
      <c r="X59" s="169">
        <v>45860</v>
      </c>
      <c r="Y59" s="169">
        <v>45881</v>
      </c>
      <c r="Z59" s="169">
        <v>45861</v>
      </c>
      <c r="AA59" s="258">
        <v>45873</v>
      </c>
      <c r="AB59" s="171">
        <v>45880</v>
      </c>
      <c r="AC59" s="171"/>
      <c r="AD59" s="171">
        <v>45874</v>
      </c>
      <c r="AE59" s="171">
        <v>45874</v>
      </c>
      <c r="AF59" s="171">
        <v>45862</v>
      </c>
      <c r="AG59" s="270" t="s">
        <v>812</v>
      </c>
      <c r="AH59" s="152">
        <v>51755.13</v>
      </c>
      <c r="AI59" s="191" t="s">
        <v>43</v>
      </c>
      <c r="AJ59" s="146"/>
      <c r="AK59" s="171">
        <v>45874</v>
      </c>
      <c r="AL59" s="171">
        <v>45904</v>
      </c>
      <c r="AM59" s="171">
        <v>45874</v>
      </c>
      <c r="AN59" s="171">
        <v>45904</v>
      </c>
      <c r="AO59" s="171" t="s">
        <v>43</v>
      </c>
      <c r="AP59" s="171" t="s">
        <v>43</v>
      </c>
      <c r="AQ59" s="171" t="s">
        <v>43</v>
      </c>
      <c r="AR59" s="171">
        <v>45909</v>
      </c>
      <c r="AS59" s="171" t="s">
        <v>43</v>
      </c>
      <c r="AT59" s="169" t="s">
        <v>1250</v>
      </c>
      <c r="AU59" s="179"/>
      <c r="AV59" s="171" t="s">
        <v>43</v>
      </c>
      <c r="AW59" s="171" t="s">
        <v>43</v>
      </c>
      <c r="AX59" s="179"/>
      <c r="AY59" s="149" t="s">
        <v>677</v>
      </c>
      <c r="AZ59" s="179"/>
      <c r="BA59" s="214">
        <f t="shared" ref="BA59:BA97" si="5">SUM(AA59+7*8)</f>
        <v>45929</v>
      </c>
      <c r="BB59" s="179"/>
      <c r="BC59" s="149" t="s">
        <v>1251</v>
      </c>
      <c r="BD59" s="171">
        <v>45926</v>
      </c>
      <c r="BE59" s="149" t="s">
        <v>322</v>
      </c>
      <c r="BF59" s="149">
        <f>(BD59-AA59)/7</f>
        <v>7.5714285714285712</v>
      </c>
      <c r="BG59" s="33" t="s">
        <v>1042</v>
      </c>
    </row>
    <row r="60" spans="1:59" ht="140" x14ac:dyDescent="0.15">
      <c r="A60" s="297" t="s">
        <v>1252</v>
      </c>
      <c r="B60" s="158" t="s">
        <v>1070</v>
      </c>
      <c r="C60" s="158" t="s">
        <v>9</v>
      </c>
      <c r="D60" s="158" t="s">
        <v>1253</v>
      </c>
      <c r="E60" s="158"/>
      <c r="F60" s="158" t="s">
        <v>1072</v>
      </c>
      <c r="G60" s="193" t="s">
        <v>1092</v>
      </c>
      <c r="H60" s="146"/>
      <c r="I60" s="146"/>
      <c r="J60" s="146"/>
      <c r="K60" s="146"/>
      <c r="L60" s="171">
        <v>45896</v>
      </c>
      <c r="M60" s="171">
        <v>45910</v>
      </c>
      <c r="N60" s="171">
        <v>45915</v>
      </c>
      <c r="O60" s="33" t="s">
        <v>1254</v>
      </c>
      <c r="P60" s="33" t="s">
        <v>1255</v>
      </c>
      <c r="Q60" s="295">
        <v>45917</v>
      </c>
      <c r="R60" s="146"/>
      <c r="S60" s="152">
        <v>1176</v>
      </c>
      <c r="T60" s="182">
        <v>45918</v>
      </c>
      <c r="U60" s="179"/>
      <c r="V60" s="182">
        <v>45918</v>
      </c>
      <c r="W60" s="179"/>
      <c r="X60" s="171"/>
      <c r="Y60" s="171"/>
      <c r="Z60" s="179"/>
      <c r="AA60" s="213" t="s">
        <v>1256</v>
      </c>
      <c r="AB60" s="179"/>
      <c r="AC60" s="146"/>
      <c r="AD60" s="179"/>
      <c r="AE60" s="179"/>
      <c r="AF60" s="179"/>
      <c r="AG60" s="169" t="s">
        <v>1257</v>
      </c>
      <c r="AH60" s="182" t="s">
        <v>43</v>
      </c>
      <c r="AI60" s="149" t="s">
        <v>43</v>
      </c>
      <c r="AJ60" s="149" t="s">
        <v>43</v>
      </c>
      <c r="AK60" s="171"/>
      <c r="AL60" s="179"/>
      <c r="AM60" s="179"/>
      <c r="AN60" s="179"/>
      <c r="AO60" s="171" t="s">
        <v>1258</v>
      </c>
      <c r="AP60" s="146"/>
      <c r="AQ60" s="179"/>
      <c r="AR60" s="179"/>
      <c r="AS60" s="179"/>
      <c r="AT60" s="179"/>
      <c r="AU60" s="179"/>
      <c r="AV60" s="179"/>
      <c r="AW60" s="179"/>
      <c r="AX60" s="179"/>
      <c r="AY60" s="146"/>
      <c r="AZ60" s="179"/>
      <c r="BA60" s="214"/>
      <c r="BB60" s="179"/>
      <c r="BC60" s="146"/>
      <c r="BD60" s="179"/>
      <c r="BE60" s="149" t="s">
        <v>43</v>
      </c>
      <c r="BF60" s="149"/>
      <c r="BG60" s="33" t="s">
        <v>1259</v>
      </c>
    </row>
    <row r="61" spans="1:59" ht="42" x14ac:dyDescent="0.15">
      <c r="A61" s="132" t="s">
        <v>1260</v>
      </c>
      <c r="B61" s="33" t="s">
        <v>1261</v>
      </c>
      <c r="C61" s="149" t="s">
        <v>9</v>
      </c>
      <c r="D61" s="33" t="s">
        <v>1262</v>
      </c>
      <c r="E61" s="149"/>
      <c r="F61" s="33" t="s">
        <v>809</v>
      </c>
      <c r="G61" s="193" t="s">
        <v>819</v>
      </c>
      <c r="H61" s="149"/>
      <c r="I61" s="149"/>
      <c r="J61" s="149"/>
      <c r="K61" s="150">
        <v>528</v>
      </c>
      <c r="L61" s="171">
        <v>45839</v>
      </c>
      <c r="M61" s="183">
        <v>45853</v>
      </c>
      <c r="N61" s="171">
        <v>45859</v>
      </c>
      <c r="O61" s="33" t="s">
        <v>1263</v>
      </c>
      <c r="P61" s="33" t="s">
        <v>1264</v>
      </c>
      <c r="Q61" s="295">
        <v>45903</v>
      </c>
      <c r="R61" s="33"/>
      <c r="S61" s="137">
        <v>588</v>
      </c>
      <c r="T61" s="171">
        <v>45866</v>
      </c>
      <c r="U61" s="171"/>
      <c r="V61" s="171">
        <v>45866</v>
      </c>
      <c r="W61" s="171"/>
      <c r="X61" s="171">
        <v>45868</v>
      </c>
      <c r="Y61" s="171">
        <v>45889</v>
      </c>
      <c r="Z61" s="169">
        <v>45873</v>
      </c>
      <c r="AA61" s="258">
        <v>45873</v>
      </c>
      <c r="AB61" s="171">
        <v>45880</v>
      </c>
      <c r="AC61" s="149"/>
      <c r="AD61" s="171">
        <v>45880</v>
      </c>
      <c r="AE61" s="171">
        <v>45880</v>
      </c>
      <c r="AF61" s="171">
        <v>45873</v>
      </c>
      <c r="AG61" s="270" t="s">
        <v>812</v>
      </c>
      <c r="AH61" s="152">
        <v>3229.24</v>
      </c>
      <c r="AI61" s="149" t="s">
        <v>758</v>
      </c>
      <c r="AJ61" s="149" t="s">
        <v>43</v>
      </c>
      <c r="AK61" s="171">
        <v>45880</v>
      </c>
      <c r="AL61" s="171">
        <v>45909</v>
      </c>
      <c r="AM61" s="171">
        <v>45881</v>
      </c>
      <c r="AN61" s="171">
        <v>45909</v>
      </c>
      <c r="AO61" s="171" t="s">
        <v>43</v>
      </c>
      <c r="AP61" s="149" t="s">
        <v>43</v>
      </c>
      <c r="AQ61" s="171" t="s">
        <v>43</v>
      </c>
      <c r="AR61" s="171">
        <v>45910</v>
      </c>
      <c r="AS61" s="169" t="s">
        <v>1265</v>
      </c>
      <c r="AT61" s="169" t="s">
        <v>1266</v>
      </c>
      <c r="AU61" s="171"/>
      <c r="AV61" s="171" t="s">
        <v>43</v>
      </c>
      <c r="AW61" s="171" t="s">
        <v>43</v>
      </c>
      <c r="AX61" s="171"/>
      <c r="AY61" s="149" t="s">
        <v>677</v>
      </c>
      <c r="AZ61" s="171"/>
      <c r="BA61" s="214">
        <v>45939</v>
      </c>
      <c r="BB61" s="171"/>
      <c r="BC61" s="149"/>
      <c r="BD61" s="171">
        <v>45937</v>
      </c>
      <c r="BE61" s="149" t="s">
        <v>258</v>
      </c>
      <c r="BF61" s="149">
        <f t="shared" ref="BF61:BF95" si="6">(BD61-AA61)/7</f>
        <v>9.1428571428571423</v>
      </c>
      <c r="BG61" s="33" t="s">
        <v>1042</v>
      </c>
    </row>
    <row r="62" spans="1:59" ht="332" x14ac:dyDescent="0.15">
      <c r="A62" s="132" t="s">
        <v>1267</v>
      </c>
      <c r="B62" s="33" t="s">
        <v>1268</v>
      </c>
      <c r="C62" s="33" t="s">
        <v>9</v>
      </c>
      <c r="D62" s="33" t="s">
        <v>1269</v>
      </c>
      <c r="E62" s="33"/>
      <c r="F62" s="33" t="s">
        <v>1270</v>
      </c>
      <c r="G62" s="193" t="s">
        <v>1271</v>
      </c>
      <c r="H62" s="33"/>
      <c r="I62" s="33"/>
      <c r="J62" s="33"/>
      <c r="K62" s="33"/>
      <c r="L62" s="298">
        <v>45824</v>
      </c>
      <c r="M62" s="298">
        <v>45839</v>
      </c>
      <c r="N62" s="169">
        <v>45849</v>
      </c>
      <c r="O62" s="33" t="s">
        <v>1272</v>
      </c>
      <c r="P62" s="33" t="s">
        <v>1264</v>
      </c>
      <c r="Q62" s="295">
        <v>45903</v>
      </c>
      <c r="R62" s="146"/>
      <c r="S62" s="247">
        <v>1176</v>
      </c>
      <c r="T62" s="169">
        <v>45856</v>
      </c>
      <c r="U62" s="169"/>
      <c r="V62" s="169">
        <v>45856</v>
      </c>
      <c r="W62" s="179"/>
      <c r="X62" s="169">
        <v>45861</v>
      </c>
      <c r="Y62" s="169">
        <v>45882</v>
      </c>
      <c r="Z62" s="169">
        <v>45862</v>
      </c>
      <c r="AA62" s="258">
        <v>45867</v>
      </c>
      <c r="AB62" s="171">
        <v>45874</v>
      </c>
      <c r="AC62" s="146"/>
      <c r="AD62" s="171">
        <v>45874</v>
      </c>
      <c r="AE62" s="171">
        <v>45874</v>
      </c>
      <c r="AF62" s="171">
        <v>45866</v>
      </c>
      <c r="AG62" s="270" t="s">
        <v>812</v>
      </c>
      <c r="AH62" s="152">
        <v>38201.050000000003</v>
      </c>
      <c r="AI62" s="191" t="s">
        <v>43</v>
      </c>
      <c r="AJ62" s="146"/>
      <c r="AK62" s="171">
        <v>45874</v>
      </c>
      <c r="AL62" s="171">
        <v>45904</v>
      </c>
      <c r="AM62" s="171">
        <v>45875</v>
      </c>
      <c r="AN62" s="171">
        <v>45904</v>
      </c>
      <c r="AO62" s="169" t="s">
        <v>1273</v>
      </c>
      <c r="AP62" s="152">
        <v>555.22</v>
      </c>
      <c r="AQ62" s="171">
        <v>45904</v>
      </c>
      <c r="AR62" s="171">
        <v>45910</v>
      </c>
      <c r="AS62" s="169" t="s">
        <v>1274</v>
      </c>
      <c r="AT62" s="169" t="s">
        <v>1275</v>
      </c>
      <c r="AU62" s="179"/>
      <c r="AV62" s="171" t="s">
        <v>43</v>
      </c>
      <c r="AW62" s="171" t="s">
        <v>43</v>
      </c>
      <c r="AX62" s="179"/>
      <c r="AY62" s="149" t="s">
        <v>677</v>
      </c>
      <c r="AZ62" s="179"/>
      <c r="BA62" s="214">
        <v>45938</v>
      </c>
      <c r="BB62" s="179"/>
      <c r="BC62" s="146"/>
      <c r="BD62" s="171">
        <v>45938</v>
      </c>
      <c r="BE62" s="149" t="s">
        <v>322</v>
      </c>
      <c r="BF62" s="149">
        <f t="shared" si="6"/>
        <v>10.142857142857142</v>
      </c>
      <c r="BG62" s="33" t="s">
        <v>1042</v>
      </c>
    </row>
    <row r="63" spans="1:59" ht="70" x14ac:dyDescent="0.15">
      <c r="A63" s="297" t="s">
        <v>1276</v>
      </c>
      <c r="B63" s="158" t="s">
        <v>1277</v>
      </c>
      <c r="C63" s="191" t="s">
        <v>9</v>
      </c>
      <c r="D63" s="33"/>
      <c r="E63" s="33"/>
      <c r="F63" s="33" t="s">
        <v>1278</v>
      </c>
      <c r="G63" s="193" t="s">
        <v>1279</v>
      </c>
      <c r="H63" s="149" t="s">
        <v>121</v>
      </c>
      <c r="I63" s="146"/>
      <c r="J63" s="146"/>
      <c r="K63" s="146"/>
      <c r="L63" s="171">
        <v>45842</v>
      </c>
      <c r="M63" s="171">
        <v>45859</v>
      </c>
      <c r="N63" s="171">
        <v>45873</v>
      </c>
      <c r="O63" s="33" t="s">
        <v>1280</v>
      </c>
      <c r="P63" s="149" t="s">
        <v>800</v>
      </c>
      <c r="Q63" s="295">
        <v>45876</v>
      </c>
      <c r="R63" s="146"/>
      <c r="S63" s="152">
        <v>588</v>
      </c>
      <c r="T63" s="171">
        <v>45877</v>
      </c>
      <c r="U63" s="179"/>
      <c r="V63" s="171">
        <v>45877</v>
      </c>
      <c r="W63" s="179"/>
      <c r="X63" s="171" t="s">
        <v>43</v>
      </c>
      <c r="Y63" s="171" t="s">
        <v>43</v>
      </c>
      <c r="Z63" s="171">
        <v>45881</v>
      </c>
      <c r="AA63" s="258">
        <v>45882</v>
      </c>
      <c r="AB63" s="171">
        <v>45889</v>
      </c>
      <c r="AC63" s="146"/>
      <c r="AD63" s="171">
        <v>45884</v>
      </c>
      <c r="AE63" s="171">
        <v>45884</v>
      </c>
      <c r="AF63" s="171">
        <v>45888</v>
      </c>
      <c r="AG63" s="169" t="s">
        <v>1281</v>
      </c>
      <c r="AH63" s="171" t="s">
        <v>43</v>
      </c>
      <c r="AI63" s="149" t="s">
        <v>43</v>
      </c>
      <c r="AJ63" s="149" t="s">
        <v>43</v>
      </c>
      <c r="AK63" s="171">
        <v>45888</v>
      </c>
      <c r="AL63" s="171">
        <v>45916</v>
      </c>
      <c r="AM63" s="171">
        <v>45887</v>
      </c>
      <c r="AN63" s="171">
        <v>45916</v>
      </c>
      <c r="AO63" s="171" t="s">
        <v>43</v>
      </c>
      <c r="AP63" s="171" t="s">
        <v>43</v>
      </c>
      <c r="AQ63" s="171" t="s">
        <v>43</v>
      </c>
      <c r="AR63" s="171">
        <v>45918</v>
      </c>
      <c r="AS63" s="179"/>
      <c r="AT63" s="171">
        <v>45931</v>
      </c>
      <c r="AU63" s="179"/>
      <c r="AV63" s="171" t="s">
        <v>43</v>
      </c>
      <c r="AW63" s="171" t="s">
        <v>43</v>
      </c>
      <c r="AX63" s="179"/>
      <c r="AY63" s="149" t="s">
        <v>677</v>
      </c>
      <c r="AZ63" s="179"/>
      <c r="BA63" s="214">
        <f>SUM(AA63+7*8)</f>
        <v>45938</v>
      </c>
      <c r="BB63" s="179"/>
      <c r="BC63" s="146"/>
      <c r="BD63" s="171">
        <v>45937</v>
      </c>
      <c r="BE63" s="149" t="s">
        <v>258</v>
      </c>
      <c r="BF63" s="149">
        <f t="shared" si="6"/>
        <v>7.8571428571428568</v>
      </c>
      <c r="BG63" s="33" t="s">
        <v>1282</v>
      </c>
    </row>
    <row r="64" spans="1:59" ht="154" x14ac:dyDescent="0.15">
      <c r="A64" s="297" t="s">
        <v>1283</v>
      </c>
      <c r="B64" s="158" t="s">
        <v>1277</v>
      </c>
      <c r="C64" s="191" t="s">
        <v>9</v>
      </c>
      <c r="D64" s="33"/>
      <c r="E64" s="33"/>
      <c r="F64" s="33" t="s">
        <v>1278</v>
      </c>
      <c r="G64" s="193" t="s">
        <v>1279</v>
      </c>
      <c r="H64" s="149" t="s">
        <v>121</v>
      </c>
      <c r="I64" s="146"/>
      <c r="J64" s="146"/>
      <c r="K64" s="146"/>
      <c r="L64" s="171">
        <v>45842</v>
      </c>
      <c r="M64" s="171">
        <v>45859</v>
      </c>
      <c r="N64" s="171">
        <v>45873</v>
      </c>
      <c r="O64" s="33" t="s">
        <v>1284</v>
      </c>
      <c r="P64" s="149" t="s">
        <v>800</v>
      </c>
      <c r="Q64" s="295">
        <v>45876</v>
      </c>
      <c r="R64" s="146"/>
      <c r="S64" s="152">
        <v>1176</v>
      </c>
      <c r="T64" s="171">
        <v>45880</v>
      </c>
      <c r="U64" s="171"/>
      <c r="V64" s="171">
        <v>45880</v>
      </c>
      <c r="W64" s="179"/>
      <c r="X64" s="171" t="s">
        <v>43</v>
      </c>
      <c r="Y64" s="171" t="s">
        <v>43</v>
      </c>
      <c r="Z64" s="171">
        <v>45881</v>
      </c>
      <c r="AA64" s="258">
        <v>45882</v>
      </c>
      <c r="AB64" s="171">
        <v>45889</v>
      </c>
      <c r="AC64" s="146"/>
      <c r="AD64" s="171">
        <v>45884</v>
      </c>
      <c r="AE64" s="171">
        <v>45884</v>
      </c>
      <c r="AF64" s="171">
        <v>45888</v>
      </c>
      <c r="AG64" s="270" t="s">
        <v>812</v>
      </c>
      <c r="AH64" s="152">
        <v>4765.3100000000004</v>
      </c>
      <c r="AI64" s="171" t="s">
        <v>43</v>
      </c>
      <c r="AJ64" s="171" t="s">
        <v>43</v>
      </c>
      <c r="AK64" s="171">
        <v>45888</v>
      </c>
      <c r="AL64" s="171">
        <v>45916</v>
      </c>
      <c r="AM64" s="171">
        <v>45887</v>
      </c>
      <c r="AN64" s="171">
        <v>45916</v>
      </c>
      <c r="AO64" s="171" t="s">
        <v>43</v>
      </c>
      <c r="AP64" s="171" t="s">
        <v>43</v>
      </c>
      <c r="AQ64" s="171" t="s">
        <v>43</v>
      </c>
      <c r="AR64" s="171">
        <v>45918</v>
      </c>
      <c r="AS64" s="179"/>
      <c r="AT64" s="171">
        <v>45931</v>
      </c>
      <c r="AU64" s="179"/>
      <c r="AV64" s="171" t="s">
        <v>43</v>
      </c>
      <c r="AW64" s="171" t="s">
        <v>43</v>
      </c>
      <c r="AX64" s="179"/>
      <c r="AY64" s="149" t="s">
        <v>677</v>
      </c>
      <c r="AZ64" s="179"/>
      <c r="BA64" s="214">
        <f>SUM(AA64+7*8)</f>
        <v>45938</v>
      </c>
      <c r="BB64" s="179"/>
      <c r="BC64" s="146"/>
      <c r="BD64" s="171">
        <v>45937</v>
      </c>
      <c r="BE64" s="149" t="s">
        <v>258</v>
      </c>
      <c r="BF64" s="149">
        <f t="shared" si="6"/>
        <v>7.8571428571428568</v>
      </c>
      <c r="BG64" s="33" t="s">
        <v>1282</v>
      </c>
    </row>
    <row r="65" spans="1:59" ht="126" x14ac:dyDescent="0.15">
      <c r="A65" s="297" t="s">
        <v>1285</v>
      </c>
      <c r="B65" s="158" t="s">
        <v>1286</v>
      </c>
      <c r="C65" s="158" t="s">
        <v>9</v>
      </c>
      <c r="D65" s="146"/>
      <c r="E65" s="146"/>
      <c r="F65" s="33" t="s">
        <v>1287</v>
      </c>
      <c r="G65" s="193" t="s">
        <v>828</v>
      </c>
      <c r="H65" s="146"/>
      <c r="I65" s="146"/>
      <c r="J65" s="146"/>
      <c r="K65" s="150">
        <v>588</v>
      </c>
      <c r="L65" s="171">
        <v>45862</v>
      </c>
      <c r="M65" s="171">
        <v>45870</v>
      </c>
      <c r="N65" s="171">
        <v>45868</v>
      </c>
      <c r="O65" s="33" t="s">
        <v>1288</v>
      </c>
      <c r="P65" s="33" t="s">
        <v>1205</v>
      </c>
      <c r="Q65" s="295">
        <v>45884</v>
      </c>
      <c r="R65" s="146"/>
      <c r="S65" s="152">
        <v>588</v>
      </c>
      <c r="T65" s="171">
        <v>45874</v>
      </c>
      <c r="U65" s="179"/>
      <c r="V65" s="171">
        <v>45874</v>
      </c>
      <c r="W65" s="179"/>
      <c r="X65" s="171">
        <v>45877</v>
      </c>
      <c r="Y65" s="171">
        <v>45901</v>
      </c>
      <c r="Z65" s="171">
        <v>45881</v>
      </c>
      <c r="AA65" s="258">
        <v>45881</v>
      </c>
      <c r="AB65" s="171">
        <v>45888</v>
      </c>
      <c r="AC65" s="171"/>
      <c r="AD65" s="171">
        <v>45883</v>
      </c>
      <c r="AE65" s="171">
        <v>45883</v>
      </c>
      <c r="AF65" s="171">
        <v>45889</v>
      </c>
      <c r="AG65" s="270" t="s">
        <v>812</v>
      </c>
      <c r="AH65" s="183" t="s">
        <v>1289</v>
      </c>
      <c r="AI65" s="149" t="s">
        <v>43</v>
      </c>
      <c r="AJ65" s="149" t="s">
        <v>43</v>
      </c>
      <c r="AK65" s="171">
        <v>45883</v>
      </c>
      <c r="AL65" s="171">
        <v>45915</v>
      </c>
      <c r="AM65" s="171">
        <v>45883</v>
      </c>
      <c r="AN65" s="171">
        <v>45915</v>
      </c>
      <c r="AO65" s="169" t="s">
        <v>1290</v>
      </c>
      <c r="AP65" s="152">
        <v>555.22</v>
      </c>
      <c r="AQ65" s="171">
        <v>45915</v>
      </c>
      <c r="AR65" s="171">
        <v>45918</v>
      </c>
      <c r="AS65" s="179"/>
      <c r="AT65" s="171">
        <v>45931</v>
      </c>
      <c r="AU65" s="179"/>
      <c r="AV65" s="171" t="s">
        <v>43</v>
      </c>
      <c r="AW65" s="171" t="s">
        <v>43</v>
      </c>
      <c r="AX65" s="179"/>
      <c r="AY65" s="149" t="s">
        <v>677</v>
      </c>
      <c r="AZ65" s="179"/>
      <c r="BA65" s="214">
        <v>45947</v>
      </c>
      <c r="BB65" s="179"/>
      <c r="BC65" s="146"/>
      <c r="BD65" s="171">
        <v>45947</v>
      </c>
      <c r="BE65" s="149" t="s">
        <v>322</v>
      </c>
      <c r="BF65" s="149">
        <f t="shared" si="6"/>
        <v>9.4285714285714288</v>
      </c>
      <c r="BG65" s="33" t="s">
        <v>1291</v>
      </c>
    </row>
    <row r="66" spans="1:59" ht="70" x14ac:dyDescent="0.15">
      <c r="A66" s="297" t="s">
        <v>1292</v>
      </c>
      <c r="B66" s="158" t="s">
        <v>1293</v>
      </c>
      <c r="C66" s="158" t="s">
        <v>9</v>
      </c>
      <c r="D66" s="146"/>
      <c r="E66" s="146"/>
      <c r="F66" s="33" t="s">
        <v>1224</v>
      </c>
      <c r="G66" s="193" t="s">
        <v>828</v>
      </c>
      <c r="H66" s="146"/>
      <c r="I66" s="146"/>
      <c r="J66" s="146"/>
      <c r="K66" s="146"/>
      <c r="L66" s="171">
        <v>45873</v>
      </c>
      <c r="M66" s="171">
        <v>45874</v>
      </c>
      <c r="N66" s="171">
        <v>45873</v>
      </c>
      <c r="O66" s="33" t="s">
        <v>1294</v>
      </c>
      <c r="P66" s="149" t="s">
        <v>95</v>
      </c>
      <c r="Q66" s="295">
        <v>45887</v>
      </c>
      <c r="R66" s="146"/>
      <c r="S66" s="152">
        <v>588</v>
      </c>
      <c r="T66" s="171">
        <v>45882</v>
      </c>
      <c r="U66" s="171"/>
      <c r="V66" s="171">
        <v>45882</v>
      </c>
      <c r="W66" s="179"/>
      <c r="X66" s="171">
        <v>45888</v>
      </c>
      <c r="Y66" s="171">
        <v>45909</v>
      </c>
      <c r="Z66" s="171">
        <v>45889</v>
      </c>
      <c r="AA66" s="258">
        <v>45889</v>
      </c>
      <c r="AB66" s="171">
        <v>45897</v>
      </c>
      <c r="AC66" s="146"/>
      <c r="AD66" s="171">
        <v>45895</v>
      </c>
      <c r="AE66" s="171">
        <v>45895</v>
      </c>
      <c r="AF66" s="171">
        <v>45903</v>
      </c>
      <c r="AG66" s="169" t="s">
        <v>1281</v>
      </c>
      <c r="AH66" s="171" t="s">
        <v>43</v>
      </c>
      <c r="AI66" s="171" t="s">
        <v>43</v>
      </c>
      <c r="AJ66" s="171" t="s">
        <v>43</v>
      </c>
      <c r="AK66" s="171">
        <v>45895</v>
      </c>
      <c r="AL66" s="171">
        <v>45924</v>
      </c>
      <c r="AM66" s="171">
        <v>45896</v>
      </c>
      <c r="AN66" s="171">
        <v>45924</v>
      </c>
      <c r="AO66" s="169" t="s">
        <v>1295</v>
      </c>
      <c r="AP66" s="152">
        <v>507.47</v>
      </c>
      <c r="AQ66" s="171">
        <v>45924</v>
      </c>
      <c r="AR66" s="171">
        <v>45925</v>
      </c>
      <c r="AS66" s="179"/>
      <c r="AT66" s="169" t="s">
        <v>1296</v>
      </c>
      <c r="AU66" s="179"/>
      <c r="AV66" s="171" t="s">
        <v>43</v>
      </c>
      <c r="AW66" s="171" t="s">
        <v>43</v>
      </c>
      <c r="AX66" s="179"/>
      <c r="AY66" s="149" t="s">
        <v>677</v>
      </c>
      <c r="AZ66" s="179"/>
      <c r="BA66" s="214">
        <v>45961</v>
      </c>
      <c r="BB66" s="179"/>
      <c r="BC66" s="146"/>
      <c r="BD66" s="171">
        <v>45960</v>
      </c>
      <c r="BE66" s="149" t="s">
        <v>258</v>
      </c>
      <c r="BF66" s="149">
        <f t="shared" si="6"/>
        <v>10.142857142857142</v>
      </c>
      <c r="BG66" s="33" t="s">
        <v>1297</v>
      </c>
    </row>
    <row r="67" spans="1:59" ht="32" x14ac:dyDescent="0.15">
      <c r="A67" s="297" t="s">
        <v>1298</v>
      </c>
      <c r="B67" s="158" t="s">
        <v>1299</v>
      </c>
      <c r="C67" s="158" t="s">
        <v>9</v>
      </c>
      <c r="D67" s="158"/>
      <c r="E67" s="158"/>
      <c r="F67" s="158" t="s">
        <v>1300</v>
      </c>
      <c r="G67" s="193" t="s">
        <v>819</v>
      </c>
      <c r="H67" s="146"/>
      <c r="I67" s="146"/>
      <c r="J67" s="146"/>
      <c r="K67" s="146"/>
      <c r="L67" s="171">
        <v>45896</v>
      </c>
      <c r="M67" s="171">
        <v>45910</v>
      </c>
      <c r="N67" s="171">
        <v>45910</v>
      </c>
      <c r="O67" s="33" t="s">
        <v>1301</v>
      </c>
      <c r="P67" s="33" t="s">
        <v>1241</v>
      </c>
      <c r="Q67" s="295">
        <v>45911</v>
      </c>
      <c r="R67" s="146"/>
      <c r="S67" s="152">
        <v>588</v>
      </c>
      <c r="T67" s="182">
        <v>45916</v>
      </c>
      <c r="U67" s="179"/>
      <c r="V67" s="182">
        <v>45916</v>
      </c>
      <c r="W67" s="179"/>
      <c r="X67" s="171" t="s">
        <v>43</v>
      </c>
      <c r="Y67" s="171" t="s">
        <v>43</v>
      </c>
      <c r="Z67" s="183">
        <v>45925</v>
      </c>
      <c r="AA67" s="258">
        <v>45925</v>
      </c>
      <c r="AB67" s="171">
        <v>45932</v>
      </c>
      <c r="AC67" s="146"/>
      <c r="AD67" s="171">
        <v>45929</v>
      </c>
      <c r="AE67" s="171">
        <v>45929</v>
      </c>
      <c r="AF67" s="182">
        <v>45922</v>
      </c>
      <c r="AG67" s="270" t="s">
        <v>812</v>
      </c>
      <c r="AH67" s="152">
        <v>6545.76</v>
      </c>
      <c r="AI67" s="149" t="s">
        <v>43</v>
      </c>
      <c r="AJ67" s="149" t="s">
        <v>43</v>
      </c>
      <c r="AK67" s="171">
        <v>45929</v>
      </c>
      <c r="AL67" s="171">
        <v>45958</v>
      </c>
      <c r="AM67" s="171">
        <v>45930</v>
      </c>
      <c r="AN67" s="171">
        <v>45958</v>
      </c>
      <c r="AO67" s="171" t="s">
        <v>43</v>
      </c>
      <c r="AP67" s="171" t="s">
        <v>43</v>
      </c>
      <c r="AQ67" s="171" t="s">
        <v>43</v>
      </c>
      <c r="AR67" s="171">
        <v>45964</v>
      </c>
      <c r="AS67" s="171" t="s">
        <v>43</v>
      </c>
      <c r="AT67" s="171" t="s">
        <v>1302</v>
      </c>
      <c r="AU67" s="179"/>
      <c r="AV67" s="171" t="s">
        <v>43</v>
      </c>
      <c r="AW67" s="171" t="s">
        <v>43</v>
      </c>
      <c r="AX67" s="171" t="s">
        <v>1303</v>
      </c>
      <c r="AY67" s="149" t="s">
        <v>677</v>
      </c>
      <c r="AZ67" s="179"/>
      <c r="BA67" s="214">
        <f>SUM(AA67+7*8)</f>
        <v>45981</v>
      </c>
      <c r="BB67" s="179"/>
      <c r="BC67" s="146"/>
      <c r="BD67" s="171">
        <v>45967</v>
      </c>
      <c r="BE67" s="149" t="s">
        <v>258</v>
      </c>
      <c r="BF67" s="149">
        <f t="shared" si="6"/>
        <v>6</v>
      </c>
      <c r="BG67" s="33" t="s">
        <v>1304</v>
      </c>
    </row>
    <row r="68" spans="1:59" ht="112" x14ac:dyDescent="0.15">
      <c r="A68" s="297" t="s">
        <v>1305</v>
      </c>
      <c r="B68" s="158" t="s">
        <v>1306</v>
      </c>
      <c r="C68" s="158" t="s">
        <v>9</v>
      </c>
      <c r="D68" s="146"/>
      <c r="E68" s="146"/>
      <c r="F68" s="158" t="s">
        <v>1307</v>
      </c>
      <c r="G68" s="193" t="s">
        <v>968</v>
      </c>
      <c r="H68" s="146"/>
      <c r="I68" s="146"/>
      <c r="J68" s="146"/>
      <c r="K68" s="146"/>
      <c r="L68" s="171">
        <v>45898</v>
      </c>
      <c r="M68" s="33" t="s">
        <v>969</v>
      </c>
      <c r="N68" s="171">
        <v>45915</v>
      </c>
      <c r="O68" s="33" t="s">
        <v>1308</v>
      </c>
      <c r="P68" s="33" t="s">
        <v>1309</v>
      </c>
      <c r="Q68" s="295">
        <v>45916</v>
      </c>
      <c r="R68" s="146"/>
      <c r="S68" s="152">
        <v>2352</v>
      </c>
      <c r="T68" s="182">
        <v>45922</v>
      </c>
      <c r="U68" s="182"/>
      <c r="V68" s="182">
        <v>45922</v>
      </c>
      <c r="W68" s="179"/>
      <c r="X68" s="171" t="s">
        <v>43</v>
      </c>
      <c r="Y68" s="171" t="s">
        <v>43</v>
      </c>
      <c r="Z68" s="183">
        <v>45925</v>
      </c>
      <c r="AA68" s="211">
        <v>45925</v>
      </c>
      <c r="AB68" s="171">
        <v>45932</v>
      </c>
      <c r="AC68" s="171"/>
      <c r="AD68" s="171">
        <v>45931</v>
      </c>
      <c r="AE68" s="171">
        <v>45931</v>
      </c>
      <c r="AF68" s="171">
        <v>45930</v>
      </c>
      <c r="AG68" s="169" t="s">
        <v>1310</v>
      </c>
      <c r="AH68" s="182" t="s">
        <v>43</v>
      </c>
      <c r="AI68" s="182" t="s">
        <v>43</v>
      </c>
      <c r="AJ68" s="149" t="s">
        <v>43</v>
      </c>
      <c r="AK68" s="171">
        <v>45931</v>
      </c>
      <c r="AL68" s="171">
        <v>45960</v>
      </c>
      <c r="AM68" s="171">
        <v>45932</v>
      </c>
      <c r="AN68" s="171">
        <v>45960</v>
      </c>
      <c r="AO68" s="169" t="s">
        <v>1311</v>
      </c>
      <c r="AP68" s="152">
        <v>507.47</v>
      </c>
      <c r="AQ68" s="171">
        <v>45960</v>
      </c>
      <c r="AR68" s="171">
        <v>45964</v>
      </c>
      <c r="AS68" s="179"/>
      <c r="AT68" s="169" t="s">
        <v>1312</v>
      </c>
      <c r="AU68" s="179"/>
      <c r="AV68" s="171" t="s">
        <v>43</v>
      </c>
      <c r="AW68" s="171" t="s">
        <v>43</v>
      </c>
      <c r="AX68" s="179"/>
      <c r="AY68" s="149" t="s">
        <v>677</v>
      </c>
      <c r="AZ68" s="179"/>
      <c r="BA68" s="214">
        <f>SUM(AA68+7*8)</f>
        <v>45981</v>
      </c>
      <c r="BB68" s="179"/>
      <c r="BC68" s="146"/>
      <c r="BD68" s="171">
        <v>45979</v>
      </c>
      <c r="BE68" s="149" t="s">
        <v>258</v>
      </c>
      <c r="BF68" s="149">
        <f t="shared" si="6"/>
        <v>7.7142857142857144</v>
      </c>
      <c r="BG68" s="33" t="s">
        <v>1042</v>
      </c>
    </row>
    <row r="69" spans="1:59" ht="126" x14ac:dyDescent="0.15">
      <c r="A69" s="297" t="s">
        <v>1313</v>
      </c>
      <c r="B69" s="158" t="s">
        <v>1314</v>
      </c>
      <c r="C69" s="158" t="s">
        <v>9</v>
      </c>
      <c r="D69" s="146"/>
      <c r="E69" s="146"/>
      <c r="F69" s="33" t="s">
        <v>1315</v>
      </c>
      <c r="G69" s="193" t="s">
        <v>1316</v>
      </c>
      <c r="H69" s="146"/>
      <c r="I69" s="146"/>
      <c r="J69" s="146"/>
      <c r="K69" s="146"/>
      <c r="L69" s="171">
        <v>45870</v>
      </c>
      <c r="M69" s="171">
        <v>45887</v>
      </c>
      <c r="N69" s="171">
        <v>45887</v>
      </c>
      <c r="O69" s="33" t="s">
        <v>1317</v>
      </c>
      <c r="P69" s="33" t="s">
        <v>1318</v>
      </c>
      <c r="Q69" s="295">
        <v>45888</v>
      </c>
      <c r="R69" s="146"/>
      <c r="S69" s="152">
        <v>298</v>
      </c>
      <c r="T69" s="171">
        <v>45895</v>
      </c>
      <c r="U69" s="171"/>
      <c r="V69" s="171">
        <v>45895</v>
      </c>
      <c r="W69" s="179"/>
      <c r="X69" s="171">
        <v>45908</v>
      </c>
      <c r="Y69" s="171">
        <v>45929</v>
      </c>
      <c r="Z69" s="183">
        <v>45926</v>
      </c>
      <c r="AA69" s="258">
        <v>45926</v>
      </c>
      <c r="AB69" s="171">
        <v>45938</v>
      </c>
      <c r="AC69" s="146"/>
      <c r="AD69" s="171">
        <v>45933</v>
      </c>
      <c r="AE69" s="171">
        <v>45938</v>
      </c>
      <c r="AF69" s="171">
        <v>45903</v>
      </c>
      <c r="AG69" s="169" t="s">
        <v>1319</v>
      </c>
      <c r="AH69" s="169" t="s">
        <v>43</v>
      </c>
      <c r="AI69" s="171" t="s">
        <v>43</v>
      </c>
      <c r="AJ69" s="171" t="s">
        <v>43</v>
      </c>
      <c r="AK69" s="171">
        <v>45938</v>
      </c>
      <c r="AL69" s="171">
        <v>45966</v>
      </c>
      <c r="AM69" s="171">
        <v>45939</v>
      </c>
      <c r="AN69" s="171">
        <v>45966</v>
      </c>
      <c r="AO69" s="149" t="s">
        <v>43</v>
      </c>
      <c r="AP69" s="149" t="s">
        <v>43</v>
      </c>
      <c r="AQ69" s="149" t="s">
        <v>43</v>
      </c>
      <c r="AR69" s="171">
        <v>45971</v>
      </c>
      <c r="AS69" s="183" t="s">
        <v>43</v>
      </c>
      <c r="AT69" s="169" t="s">
        <v>1320</v>
      </c>
      <c r="AU69" s="179"/>
      <c r="AV69" s="171" t="s">
        <v>43</v>
      </c>
      <c r="AW69" s="171" t="s">
        <v>43</v>
      </c>
      <c r="AX69" s="179"/>
      <c r="AY69" s="149" t="s">
        <v>677</v>
      </c>
      <c r="AZ69" s="179"/>
      <c r="BA69" s="214">
        <f>SUM(AA69+7*8)</f>
        <v>45982</v>
      </c>
      <c r="BB69" s="179"/>
      <c r="BC69" s="146"/>
      <c r="BD69" s="171">
        <v>45982</v>
      </c>
      <c r="BE69" s="171" t="s">
        <v>258</v>
      </c>
      <c r="BF69" s="149">
        <f t="shared" si="6"/>
        <v>8</v>
      </c>
      <c r="BG69" s="33" t="s">
        <v>1321</v>
      </c>
    </row>
    <row r="70" spans="1:59" ht="42" x14ac:dyDescent="0.15">
      <c r="A70" s="297" t="s">
        <v>1322</v>
      </c>
      <c r="B70" s="158" t="s">
        <v>1323</v>
      </c>
      <c r="C70" s="158" t="s">
        <v>9</v>
      </c>
      <c r="D70" s="146"/>
      <c r="E70" s="146"/>
      <c r="F70" s="158" t="s">
        <v>1324</v>
      </c>
      <c r="G70" s="193" t="s">
        <v>1325</v>
      </c>
      <c r="H70" s="146"/>
      <c r="I70" s="146"/>
      <c r="J70" s="146"/>
      <c r="K70" s="146"/>
      <c r="L70" s="171">
        <v>45897</v>
      </c>
      <c r="M70" s="33" t="s">
        <v>969</v>
      </c>
      <c r="N70" s="171">
        <v>45919</v>
      </c>
      <c r="O70" s="33" t="s">
        <v>1326</v>
      </c>
      <c r="P70" s="33" t="s">
        <v>1327</v>
      </c>
      <c r="Q70" s="295">
        <v>45923</v>
      </c>
      <c r="R70" s="146"/>
      <c r="S70" s="152">
        <v>4704</v>
      </c>
      <c r="T70" s="182">
        <v>45926</v>
      </c>
      <c r="U70" s="182"/>
      <c r="V70" s="182">
        <v>45926</v>
      </c>
      <c r="W70" s="179"/>
      <c r="X70" s="171" t="s">
        <v>43</v>
      </c>
      <c r="Y70" s="171" t="s">
        <v>43</v>
      </c>
      <c r="Z70" s="183">
        <v>45932</v>
      </c>
      <c r="AA70" s="211">
        <v>45932</v>
      </c>
      <c r="AB70" s="171">
        <v>45939</v>
      </c>
      <c r="AC70" s="171"/>
      <c r="AD70" s="171">
        <v>45938</v>
      </c>
      <c r="AE70" s="171">
        <v>45938</v>
      </c>
      <c r="AF70" s="171">
        <v>45936</v>
      </c>
      <c r="AG70" s="169" t="s">
        <v>1328</v>
      </c>
      <c r="AH70" s="182" t="s">
        <v>43</v>
      </c>
      <c r="AI70" s="182" t="s">
        <v>43</v>
      </c>
      <c r="AJ70" s="149" t="s">
        <v>43</v>
      </c>
      <c r="AK70" s="171">
        <v>45938</v>
      </c>
      <c r="AL70" s="171">
        <v>45966</v>
      </c>
      <c r="AM70" s="171">
        <v>45939</v>
      </c>
      <c r="AN70" s="171">
        <v>45966</v>
      </c>
      <c r="AO70" s="171" t="s">
        <v>43</v>
      </c>
      <c r="AP70" s="171" t="s">
        <v>43</v>
      </c>
      <c r="AQ70" s="171" t="s">
        <v>43</v>
      </c>
      <c r="AR70" s="171">
        <v>45971</v>
      </c>
      <c r="AS70" s="183"/>
      <c r="AT70" s="169" t="s">
        <v>1320</v>
      </c>
      <c r="AU70" s="179"/>
      <c r="AV70" s="171" t="s">
        <v>43</v>
      </c>
      <c r="AW70" s="171" t="s">
        <v>43</v>
      </c>
      <c r="AX70" s="179"/>
      <c r="AY70" s="149" t="s">
        <v>677</v>
      </c>
      <c r="AZ70" s="179"/>
      <c r="BA70" s="214">
        <f>SUM(AA70+7*8)</f>
        <v>45988</v>
      </c>
      <c r="BB70" s="179"/>
      <c r="BC70" s="146"/>
      <c r="BD70" s="171">
        <v>45987</v>
      </c>
      <c r="BE70" s="171" t="s">
        <v>258</v>
      </c>
      <c r="BF70" s="149">
        <f t="shared" si="6"/>
        <v>7.8571428571428568</v>
      </c>
      <c r="BG70" s="33" t="s">
        <v>1042</v>
      </c>
    </row>
    <row r="71" spans="1:59" ht="112" x14ac:dyDescent="0.15">
      <c r="A71" s="132" t="s">
        <v>1329</v>
      </c>
      <c r="B71" s="33" t="s">
        <v>1330</v>
      </c>
      <c r="C71" s="149" t="s">
        <v>9</v>
      </c>
      <c r="D71" s="33" t="s">
        <v>1262</v>
      </c>
      <c r="E71" s="149"/>
      <c r="F71" s="33" t="s">
        <v>1331</v>
      </c>
      <c r="G71" s="193" t="s">
        <v>819</v>
      </c>
      <c r="H71" s="149"/>
      <c r="I71" s="149"/>
      <c r="J71" s="149"/>
      <c r="K71" s="149"/>
      <c r="L71" s="171">
        <v>45839</v>
      </c>
      <c r="M71" s="183">
        <v>45853</v>
      </c>
      <c r="N71" s="171">
        <v>45898</v>
      </c>
      <c r="O71" s="33" t="s">
        <v>1332</v>
      </c>
      <c r="P71" s="33" t="s">
        <v>1333</v>
      </c>
      <c r="Q71" s="295">
        <v>45922</v>
      </c>
      <c r="R71" s="33"/>
      <c r="S71" s="137">
        <v>5292</v>
      </c>
      <c r="T71" s="171">
        <v>45905</v>
      </c>
      <c r="U71" s="171"/>
      <c r="V71" s="171">
        <v>45905</v>
      </c>
      <c r="W71" s="171"/>
      <c r="X71" s="171" t="s">
        <v>43</v>
      </c>
      <c r="Y71" s="171" t="s">
        <v>43</v>
      </c>
      <c r="Z71" s="171">
        <v>45910</v>
      </c>
      <c r="AA71" s="258">
        <v>45910</v>
      </c>
      <c r="AB71" s="171">
        <v>45917</v>
      </c>
      <c r="AC71" s="149"/>
      <c r="AD71" s="171">
        <v>45912</v>
      </c>
      <c r="AE71" s="171">
        <v>45912</v>
      </c>
      <c r="AF71" s="171">
        <v>45910</v>
      </c>
      <c r="AG71" s="270" t="s">
        <v>1334</v>
      </c>
      <c r="AH71" s="152">
        <v>6371.21</v>
      </c>
      <c r="AI71" s="149" t="s">
        <v>43</v>
      </c>
      <c r="AJ71" s="149" t="s">
        <v>43</v>
      </c>
      <c r="AK71" s="171">
        <v>45912</v>
      </c>
      <c r="AL71" s="171">
        <v>45944</v>
      </c>
      <c r="AM71" s="171">
        <v>45915</v>
      </c>
      <c r="AN71" s="171">
        <v>45944</v>
      </c>
      <c r="AO71" s="171" t="s">
        <v>43</v>
      </c>
      <c r="AP71" s="149" t="s">
        <v>43</v>
      </c>
      <c r="AQ71" s="171" t="s">
        <v>43</v>
      </c>
      <c r="AR71" s="171">
        <v>45951</v>
      </c>
      <c r="AS71" s="171">
        <v>45951</v>
      </c>
      <c r="AT71" s="171" t="s">
        <v>1335</v>
      </c>
      <c r="AU71" s="169" t="s">
        <v>1336</v>
      </c>
      <c r="AV71" s="171" t="s">
        <v>43</v>
      </c>
      <c r="AW71" s="171" t="s">
        <v>43</v>
      </c>
      <c r="AX71" s="171"/>
      <c r="AY71" s="149" t="s">
        <v>677</v>
      </c>
      <c r="AZ71" s="171"/>
      <c r="BA71" s="214">
        <v>45993</v>
      </c>
      <c r="BB71" s="171"/>
      <c r="BC71" s="149"/>
      <c r="BD71" s="171">
        <v>45993</v>
      </c>
      <c r="BE71" s="149" t="s">
        <v>258</v>
      </c>
      <c r="BF71" s="149">
        <f t="shared" si="6"/>
        <v>11.857142857142858</v>
      </c>
      <c r="BG71" s="33" t="s">
        <v>1042</v>
      </c>
    </row>
    <row r="72" spans="1:59" ht="70" x14ac:dyDescent="0.15">
      <c r="A72" s="297" t="s">
        <v>1337</v>
      </c>
      <c r="B72" s="158" t="s">
        <v>1338</v>
      </c>
      <c r="C72" s="158" t="s">
        <v>9</v>
      </c>
      <c r="D72" s="158"/>
      <c r="E72" s="158"/>
      <c r="F72" s="33" t="s">
        <v>1339</v>
      </c>
      <c r="G72" s="193" t="s">
        <v>847</v>
      </c>
      <c r="H72" s="146"/>
      <c r="I72" s="146"/>
      <c r="J72" s="146"/>
      <c r="K72" s="146"/>
      <c r="L72" s="171">
        <v>45877</v>
      </c>
      <c r="M72" s="171">
        <v>45884</v>
      </c>
      <c r="N72" s="171">
        <v>45903</v>
      </c>
      <c r="O72" s="33" t="s">
        <v>1340</v>
      </c>
      <c r="P72" s="33" t="s">
        <v>1341</v>
      </c>
      <c r="Q72" s="295">
        <v>45950</v>
      </c>
      <c r="R72" s="146"/>
      <c r="S72" s="152">
        <v>588</v>
      </c>
      <c r="T72" s="171">
        <v>45909</v>
      </c>
      <c r="U72" s="171"/>
      <c r="V72" s="171">
        <v>45909</v>
      </c>
      <c r="W72" s="179"/>
      <c r="X72" s="171">
        <v>45911</v>
      </c>
      <c r="Y72" s="171">
        <v>45932</v>
      </c>
      <c r="Z72" s="183">
        <v>45912</v>
      </c>
      <c r="AA72" s="258">
        <v>45940</v>
      </c>
      <c r="AB72" s="171">
        <v>45947</v>
      </c>
      <c r="AC72" s="146"/>
      <c r="AD72" s="171">
        <v>45946</v>
      </c>
      <c r="AE72" s="171">
        <v>45946</v>
      </c>
      <c r="AF72" s="171">
        <v>45916</v>
      </c>
      <c r="AG72" s="270" t="s">
        <v>812</v>
      </c>
      <c r="AH72" s="152">
        <v>6886.14</v>
      </c>
      <c r="AI72" s="149" t="s">
        <v>43</v>
      </c>
      <c r="AJ72" s="149" t="s">
        <v>43</v>
      </c>
      <c r="AK72" s="171">
        <v>45946</v>
      </c>
      <c r="AL72" s="171">
        <v>45975</v>
      </c>
      <c r="AM72" s="171">
        <v>45947</v>
      </c>
      <c r="AN72" s="171">
        <v>45975</v>
      </c>
      <c r="AO72" s="171" t="s">
        <v>43</v>
      </c>
      <c r="AP72" s="171" t="s">
        <v>43</v>
      </c>
      <c r="AQ72" s="171" t="s">
        <v>43</v>
      </c>
      <c r="AR72" s="171">
        <v>45981</v>
      </c>
      <c r="AS72" s="183" t="s">
        <v>43</v>
      </c>
      <c r="AT72" s="169" t="s">
        <v>1320</v>
      </c>
      <c r="AU72" s="171" t="s">
        <v>43</v>
      </c>
      <c r="AV72" s="171" t="s">
        <v>43</v>
      </c>
      <c r="AW72" s="171" t="s">
        <v>43</v>
      </c>
      <c r="AX72" s="171"/>
      <c r="AY72" s="149" t="s">
        <v>677</v>
      </c>
      <c r="AZ72" s="179"/>
      <c r="BA72" s="214">
        <f t="shared" si="5"/>
        <v>45996</v>
      </c>
      <c r="BB72" s="179"/>
      <c r="BC72" s="146"/>
      <c r="BD72" s="171">
        <v>45993</v>
      </c>
      <c r="BE72" s="149" t="s">
        <v>258</v>
      </c>
      <c r="BF72" s="149">
        <f t="shared" si="6"/>
        <v>7.5714285714285712</v>
      </c>
      <c r="BG72" s="33" t="s">
        <v>1042</v>
      </c>
    </row>
    <row r="73" spans="1:59" ht="42" x14ac:dyDescent="0.15">
      <c r="A73" s="297" t="s">
        <v>1342</v>
      </c>
      <c r="B73" s="158" t="s">
        <v>1343</v>
      </c>
      <c r="C73" s="158" t="s">
        <v>9</v>
      </c>
      <c r="D73" s="146"/>
      <c r="E73" s="146"/>
      <c r="F73" s="33" t="s">
        <v>1344</v>
      </c>
      <c r="G73" s="193" t="s">
        <v>819</v>
      </c>
      <c r="H73" s="146"/>
      <c r="I73" s="146"/>
      <c r="J73" s="146"/>
      <c r="K73" s="146"/>
      <c r="L73" s="171">
        <v>45887</v>
      </c>
      <c r="M73" s="171">
        <v>45901</v>
      </c>
      <c r="N73" s="171">
        <v>45915</v>
      </c>
      <c r="O73" s="33" t="s">
        <v>1345</v>
      </c>
      <c r="P73" s="33" t="s">
        <v>1255</v>
      </c>
      <c r="Q73" s="295">
        <v>45917</v>
      </c>
      <c r="R73" s="146"/>
      <c r="S73" s="152">
        <v>588</v>
      </c>
      <c r="T73" s="182">
        <v>45919</v>
      </c>
      <c r="U73" s="179"/>
      <c r="V73" s="182">
        <v>45919</v>
      </c>
      <c r="W73" s="179"/>
      <c r="X73" s="171">
        <v>45952</v>
      </c>
      <c r="Y73" s="171">
        <v>45973</v>
      </c>
      <c r="Z73" s="183">
        <v>45953</v>
      </c>
      <c r="AA73" s="258">
        <v>45953</v>
      </c>
      <c r="AB73" s="171">
        <v>45960</v>
      </c>
      <c r="AC73" s="146"/>
      <c r="AD73" s="171">
        <v>45960</v>
      </c>
      <c r="AE73" s="171">
        <v>45960</v>
      </c>
      <c r="AF73" s="171">
        <v>45930</v>
      </c>
      <c r="AG73" s="169" t="s">
        <v>1346</v>
      </c>
      <c r="AH73" s="182" t="s">
        <v>43</v>
      </c>
      <c r="AI73" s="182" t="s">
        <v>43</v>
      </c>
      <c r="AJ73" s="149" t="s">
        <v>43</v>
      </c>
      <c r="AK73" s="171">
        <v>45960</v>
      </c>
      <c r="AL73" s="171">
        <v>45989</v>
      </c>
      <c r="AM73" s="171">
        <v>45961</v>
      </c>
      <c r="AN73" s="171">
        <v>45989</v>
      </c>
      <c r="AO73" s="171" t="s">
        <v>43</v>
      </c>
      <c r="AP73" s="171" t="s">
        <v>43</v>
      </c>
      <c r="AQ73" s="171" t="s">
        <v>43</v>
      </c>
      <c r="AR73" s="171">
        <v>45992</v>
      </c>
      <c r="AS73" s="183" t="s">
        <v>43</v>
      </c>
      <c r="AT73" s="169" t="s">
        <v>1347</v>
      </c>
      <c r="AU73" s="171" t="s">
        <v>43</v>
      </c>
      <c r="AV73" s="171" t="s">
        <v>43</v>
      </c>
      <c r="AW73" s="171" t="s">
        <v>43</v>
      </c>
      <c r="AX73" s="179"/>
      <c r="AY73" s="149" t="s">
        <v>677</v>
      </c>
      <c r="AZ73" s="179"/>
      <c r="BA73" s="214">
        <f t="shared" si="5"/>
        <v>46009</v>
      </c>
      <c r="BB73" s="179"/>
      <c r="BC73" s="146"/>
      <c r="BD73" s="171">
        <v>46003</v>
      </c>
      <c r="BE73" s="149" t="s">
        <v>322</v>
      </c>
      <c r="BF73" s="149">
        <f t="shared" si="6"/>
        <v>7.1428571428571432</v>
      </c>
      <c r="BG73" s="33" t="s">
        <v>1042</v>
      </c>
    </row>
    <row r="74" spans="1:59" ht="70" x14ac:dyDescent="0.15">
      <c r="A74" s="297" t="s">
        <v>1348</v>
      </c>
      <c r="B74" s="158" t="s">
        <v>919</v>
      </c>
      <c r="C74" s="158" t="s">
        <v>9</v>
      </c>
      <c r="D74" s="146"/>
      <c r="E74" s="146"/>
      <c r="F74" s="158" t="s">
        <v>920</v>
      </c>
      <c r="G74" s="193" t="s">
        <v>828</v>
      </c>
      <c r="H74" s="146"/>
      <c r="I74" s="146"/>
      <c r="J74" s="146"/>
      <c r="K74" s="146"/>
      <c r="L74" s="171">
        <v>45929</v>
      </c>
      <c r="M74" s="171">
        <v>45933</v>
      </c>
      <c r="N74" s="171">
        <v>45945</v>
      </c>
      <c r="O74" s="33" t="s">
        <v>1349</v>
      </c>
      <c r="P74" s="33" t="s">
        <v>1350</v>
      </c>
      <c r="Q74" s="295">
        <v>45972</v>
      </c>
      <c r="R74" s="146"/>
      <c r="S74" s="152">
        <v>2086</v>
      </c>
      <c r="T74" s="182">
        <v>45951</v>
      </c>
      <c r="U74" s="182"/>
      <c r="V74" s="182">
        <v>45951</v>
      </c>
      <c r="W74" s="179"/>
      <c r="X74" s="171" t="s">
        <v>43</v>
      </c>
      <c r="Y74" s="171" t="s">
        <v>43</v>
      </c>
      <c r="Z74" s="183">
        <v>45964</v>
      </c>
      <c r="AA74" s="211">
        <v>45964</v>
      </c>
      <c r="AB74" s="171">
        <v>45971</v>
      </c>
      <c r="AC74" s="146"/>
      <c r="AD74" s="171">
        <v>45967</v>
      </c>
      <c r="AE74" s="171">
        <v>45967</v>
      </c>
      <c r="AF74" s="171">
        <v>45960</v>
      </c>
      <c r="AG74" s="169" t="s">
        <v>1351</v>
      </c>
      <c r="AH74" s="182" t="s">
        <v>43</v>
      </c>
      <c r="AI74" s="182" t="s">
        <v>43</v>
      </c>
      <c r="AJ74" s="149" t="s">
        <v>43</v>
      </c>
      <c r="AK74" s="171">
        <v>45967</v>
      </c>
      <c r="AL74" s="171">
        <v>45995</v>
      </c>
      <c r="AM74" s="171">
        <v>45968</v>
      </c>
      <c r="AN74" s="171">
        <v>45995</v>
      </c>
      <c r="AO74" s="169" t="s">
        <v>1352</v>
      </c>
      <c r="AP74" s="152">
        <v>507.47</v>
      </c>
      <c r="AQ74" s="171">
        <v>45995</v>
      </c>
      <c r="AR74" s="171">
        <v>45999</v>
      </c>
      <c r="AS74" s="183" t="s">
        <v>43</v>
      </c>
      <c r="AT74" s="169" t="s">
        <v>1353</v>
      </c>
      <c r="AU74" s="171" t="s">
        <v>43</v>
      </c>
      <c r="AV74" s="171" t="s">
        <v>43</v>
      </c>
      <c r="AW74" s="171" t="s">
        <v>43</v>
      </c>
      <c r="AX74" s="171" t="s">
        <v>43</v>
      </c>
      <c r="AY74" s="149" t="s">
        <v>677</v>
      </c>
      <c r="AZ74" s="179"/>
      <c r="BA74" s="214">
        <f>SUM(AA74+7*8)</f>
        <v>46020</v>
      </c>
      <c r="BB74" s="179"/>
      <c r="BC74" s="146"/>
      <c r="BD74" s="171">
        <v>46006</v>
      </c>
      <c r="BE74" s="149" t="s">
        <v>322</v>
      </c>
      <c r="BF74" s="149">
        <f t="shared" si="6"/>
        <v>6</v>
      </c>
      <c r="BG74" s="33" t="s">
        <v>1042</v>
      </c>
    </row>
    <row r="75" spans="1:59" ht="84" x14ac:dyDescent="0.15">
      <c r="A75" s="297" t="s">
        <v>1354</v>
      </c>
      <c r="B75" s="158" t="s">
        <v>1216</v>
      </c>
      <c r="C75" s="158" t="s">
        <v>9</v>
      </c>
      <c r="D75" s="146"/>
      <c r="E75" s="146"/>
      <c r="F75" s="158" t="s">
        <v>1217</v>
      </c>
      <c r="G75" s="193" t="s">
        <v>819</v>
      </c>
      <c r="H75" s="146"/>
      <c r="I75" s="146"/>
      <c r="J75" s="146"/>
      <c r="K75" s="146"/>
      <c r="L75" s="171">
        <v>45922</v>
      </c>
      <c r="M75" s="171">
        <v>45936</v>
      </c>
      <c r="N75" s="171">
        <v>45931</v>
      </c>
      <c r="O75" s="33" t="s">
        <v>1355</v>
      </c>
      <c r="P75" s="33" t="s">
        <v>1356</v>
      </c>
      <c r="Q75" s="295">
        <v>45972</v>
      </c>
      <c r="R75" s="146"/>
      <c r="S75" s="152">
        <v>588</v>
      </c>
      <c r="T75" s="182">
        <v>45938</v>
      </c>
      <c r="U75" s="179"/>
      <c r="V75" s="182">
        <v>45938</v>
      </c>
      <c r="W75" s="179"/>
      <c r="X75" s="171" t="s">
        <v>43</v>
      </c>
      <c r="Y75" s="171" t="s">
        <v>43</v>
      </c>
      <c r="Z75" s="183">
        <v>45959</v>
      </c>
      <c r="AA75" s="211">
        <v>45959</v>
      </c>
      <c r="AB75" s="171">
        <v>45966</v>
      </c>
      <c r="AC75" s="146"/>
      <c r="AD75" s="171">
        <v>45965</v>
      </c>
      <c r="AE75" s="171">
        <v>45965</v>
      </c>
      <c r="AF75" s="171">
        <v>45943</v>
      </c>
      <c r="AG75" s="270" t="s">
        <v>812</v>
      </c>
      <c r="AH75" s="152" t="s">
        <v>1357</v>
      </c>
      <c r="AI75" s="182" t="s">
        <v>43</v>
      </c>
      <c r="AJ75" s="149" t="s">
        <v>43</v>
      </c>
      <c r="AK75" s="171">
        <v>45965</v>
      </c>
      <c r="AL75" s="171">
        <v>45993</v>
      </c>
      <c r="AM75" s="171">
        <v>45966</v>
      </c>
      <c r="AN75" s="171">
        <v>45993</v>
      </c>
      <c r="AO75" s="171" t="s">
        <v>43</v>
      </c>
      <c r="AP75" s="171" t="s">
        <v>43</v>
      </c>
      <c r="AQ75" s="171" t="s">
        <v>43</v>
      </c>
      <c r="AR75" s="171">
        <v>45999</v>
      </c>
      <c r="AS75" s="183" t="s">
        <v>43</v>
      </c>
      <c r="AT75" s="169" t="s">
        <v>1358</v>
      </c>
      <c r="AU75" s="171" t="s">
        <v>43</v>
      </c>
      <c r="AV75" s="171" t="s">
        <v>43</v>
      </c>
      <c r="AW75" s="171" t="s">
        <v>43</v>
      </c>
      <c r="AX75" s="171" t="s">
        <v>43</v>
      </c>
      <c r="AY75" s="149" t="s">
        <v>677</v>
      </c>
      <c r="AZ75" s="179"/>
      <c r="BA75" s="214">
        <f>SUM(AA75+7*8)</f>
        <v>46015</v>
      </c>
      <c r="BB75" s="183" t="s">
        <v>1118</v>
      </c>
      <c r="BC75" s="146"/>
      <c r="BD75" s="171">
        <v>46014</v>
      </c>
      <c r="BE75" s="149" t="s">
        <v>322</v>
      </c>
      <c r="BF75" s="149">
        <f t="shared" si="6"/>
        <v>7.8571428571428568</v>
      </c>
      <c r="BG75" s="149" t="s">
        <v>1359</v>
      </c>
    </row>
    <row r="76" spans="1:59" ht="98" x14ac:dyDescent="0.15">
      <c r="A76" s="297" t="s">
        <v>1360</v>
      </c>
      <c r="B76" s="158" t="s">
        <v>1361</v>
      </c>
      <c r="C76" s="158" t="s">
        <v>9</v>
      </c>
      <c r="D76" s="146"/>
      <c r="E76" s="146"/>
      <c r="F76" s="158" t="s">
        <v>1362</v>
      </c>
      <c r="G76" s="193" t="s">
        <v>1363</v>
      </c>
      <c r="H76" s="146"/>
      <c r="I76" s="146"/>
      <c r="J76" s="146"/>
      <c r="K76" s="146"/>
      <c r="L76" s="171">
        <v>45924</v>
      </c>
      <c r="M76" s="171">
        <v>45932</v>
      </c>
      <c r="N76" s="171">
        <v>45938</v>
      </c>
      <c r="O76" s="33" t="s">
        <v>1364</v>
      </c>
      <c r="P76" s="33" t="s">
        <v>1356</v>
      </c>
      <c r="Q76" s="295">
        <v>45972</v>
      </c>
      <c r="R76" s="146"/>
      <c r="S76" s="150">
        <v>588</v>
      </c>
      <c r="T76" s="182">
        <v>45947</v>
      </c>
      <c r="U76" s="179"/>
      <c r="V76" s="182">
        <v>45947</v>
      </c>
      <c r="W76" s="179"/>
      <c r="X76" s="171">
        <v>45961</v>
      </c>
      <c r="Y76" s="171">
        <v>45982</v>
      </c>
      <c r="Z76" s="183">
        <v>45968</v>
      </c>
      <c r="AA76" s="211">
        <v>45968</v>
      </c>
      <c r="AB76" s="171">
        <v>45975</v>
      </c>
      <c r="AC76" s="146"/>
      <c r="AD76" s="171">
        <v>45974</v>
      </c>
      <c r="AE76" s="171">
        <v>45974</v>
      </c>
      <c r="AF76" s="171">
        <v>45957</v>
      </c>
      <c r="AG76" s="270" t="s">
        <v>812</v>
      </c>
      <c r="AH76" s="301" t="s">
        <v>1365</v>
      </c>
      <c r="AI76" s="182" t="s">
        <v>43</v>
      </c>
      <c r="AJ76" s="149" t="s">
        <v>43</v>
      </c>
      <c r="AK76" s="171">
        <v>45974</v>
      </c>
      <c r="AL76" s="171">
        <v>46002</v>
      </c>
      <c r="AM76" s="171">
        <v>45975</v>
      </c>
      <c r="AN76" s="171">
        <v>46002</v>
      </c>
      <c r="AO76" s="171" t="s">
        <v>43</v>
      </c>
      <c r="AP76" s="171" t="s">
        <v>43</v>
      </c>
      <c r="AQ76" s="171" t="s">
        <v>43</v>
      </c>
      <c r="AR76" s="171">
        <v>46006</v>
      </c>
      <c r="AS76" s="183" t="s">
        <v>43</v>
      </c>
      <c r="AT76" s="169" t="s">
        <v>1366</v>
      </c>
      <c r="AU76" s="171" t="s">
        <v>43</v>
      </c>
      <c r="AV76" s="171" t="s">
        <v>43</v>
      </c>
      <c r="AW76" s="171" t="s">
        <v>43</v>
      </c>
      <c r="AX76" s="171" t="s">
        <v>43</v>
      </c>
      <c r="AY76" s="149" t="s">
        <v>677</v>
      </c>
      <c r="AZ76" s="179"/>
      <c r="BA76" s="214">
        <f>SUM(AA76+7*8)</f>
        <v>46024</v>
      </c>
      <c r="BB76" s="183" t="s">
        <v>1118</v>
      </c>
      <c r="BC76" s="146"/>
      <c r="BD76" s="171">
        <v>46020</v>
      </c>
      <c r="BE76" s="149" t="s">
        <v>322</v>
      </c>
      <c r="BF76" s="149">
        <f t="shared" si="6"/>
        <v>7.4285714285714288</v>
      </c>
      <c r="BG76" s="33" t="s">
        <v>1042</v>
      </c>
    </row>
    <row r="77" spans="1:59" ht="196" x14ac:dyDescent="0.15">
      <c r="A77" s="132" t="s">
        <v>1367</v>
      </c>
      <c r="B77" s="158" t="s">
        <v>1293</v>
      </c>
      <c r="C77" s="158" t="s">
        <v>9</v>
      </c>
      <c r="D77" s="146"/>
      <c r="E77" s="146"/>
      <c r="F77" s="158" t="s">
        <v>1224</v>
      </c>
      <c r="G77" s="193" t="s">
        <v>828</v>
      </c>
      <c r="H77" s="146"/>
      <c r="I77" s="146"/>
      <c r="J77" s="146"/>
      <c r="K77" s="150">
        <v>5292</v>
      </c>
      <c r="L77" s="171" t="s">
        <v>43</v>
      </c>
      <c r="M77" s="171" t="s">
        <v>43</v>
      </c>
      <c r="N77" s="171">
        <v>45947</v>
      </c>
      <c r="O77" s="33" t="s">
        <v>1368</v>
      </c>
      <c r="P77" s="33" t="s">
        <v>1350</v>
      </c>
      <c r="Q77" s="295">
        <v>45972</v>
      </c>
      <c r="R77" s="149" t="s">
        <v>1369</v>
      </c>
      <c r="S77" s="152">
        <v>2940</v>
      </c>
      <c r="T77" s="182">
        <v>45957</v>
      </c>
      <c r="U77" s="182"/>
      <c r="V77" s="182">
        <v>45957</v>
      </c>
      <c r="W77" s="179"/>
      <c r="X77" s="171" t="s">
        <v>43</v>
      </c>
      <c r="Y77" s="171" t="s">
        <v>43</v>
      </c>
      <c r="Z77" s="183">
        <v>45967</v>
      </c>
      <c r="AA77" s="211">
        <v>45967</v>
      </c>
      <c r="AB77" s="171">
        <v>45974</v>
      </c>
      <c r="AC77" s="146"/>
      <c r="AD77" s="171">
        <v>45972</v>
      </c>
      <c r="AE77" s="171">
        <v>45972</v>
      </c>
      <c r="AF77" s="171">
        <v>45967</v>
      </c>
      <c r="AG77" s="302" t="s">
        <v>812</v>
      </c>
      <c r="AH77" s="303" t="s">
        <v>1370</v>
      </c>
      <c r="AI77" s="182" t="s">
        <v>43</v>
      </c>
      <c r="AJ77" s="182" t="s">
        <v>43</v>
      </c>
      <c r="AK77" s="171">
        <v>45972</v>
      </c>
      <c r="AL77" s="171">
        <v>46001</v>
      </c>
      <c r="AM77" s="171">
        <v>45972</v>
      </c>
      <c r="AN77" s="171">
        <v>46001</v>
      </c>
      <c r="AO77" s="304">
        <v>531557</v>
      </c>
      <c r="AP77" s="305">
        <v>507.47</v>
      </c>
      <c r="AQ77" s="171">
        <v>46001</v>
      </c>
      <c r="AR77" s="171">
        <v>46006</v>
      </c>
      <c r="AS77" s="183" t="s">
        <v>43</v>
      </c>
      <c r="AT77" s="169" t="s">
        <v>1371</v>
      </c>
      <c r="AU77" s="171" t="s">
        <v>43</v>
      </c>
      <c r="AV77" s="171" t="s">
        <v>43</v>
      </c>
      <c r="AW77" s="171" t="s">
        <v>43</v>
      </c>
      <c r="AX77" s="171" t="s">
        <v>43</v>
      </c>
      <c r="AY77" s="149" t="s">
        <v>677</v>
      </c>
      <c r="AZ77" s="179"/>
      <c r="BA77" s="214">
        <v>46024</v>
      </c>
      <c r="BB77" s="179"/>
      <c r="BC77" s="146"/>
      <c r="BD77" s="171">
        <v>46024</v>
      </c>
      <c r="BE77" s="149" t="s">
        <v>322</v>
      </c>
      <c r="BF77" s="149">
        <f t="shared" si="6"/>
        <v>8.1428571428571423</v>
      </c>
      <c r="BG77" s="33" t="s">
        <v>1372</v>
      </c>
    </row>
    <row r="78" spans="1:59" ht="98" x14ac:dyDescent="0.15">
      <c r="A78" s="297" t="s">
        <v>1373</v>
      </c>
      <c r="B78" s="158" t="s">
        <v>1246</v>
      </c>
      <c r="C78" s="158" t="s">
        <v>9</v>
      </c>
      <c r="D78" s="146"/>
      <c r="E78" s="146"/>
      <c r="F78" s="158" t="s">
        <v>1374</v>
      </c>
      <c r="G78" s="193" t="s">
        <v>819</v>
      </c>
      <c r="H78" s="146"/>
      <c r="I78" s="146"/>
      <c r="J78" s="146"/>
      <c r="K78" s="146"/>
      <c r="L78" s="171">
        <v>45932</v>
      </c>
      <c r="M78" s="171">
        <v>45947</v>
      </c>
      <c r="N78" s="171">
        <v>45951</v>
      </c>
      <c r="O78" s="33" t="s">
        <v>1249</v>
      </c>
      <c r="P78" s="33" t="s">
        <v>1144</v>
      </c>
      <c r="Q78" s="295">
        <v>45974</v>
      </c>
      <c r="R78" s="146"/>
      <c r="S78" s="152">
        <v>5292</v>
      </c>
      <c r="T78" s="182">
        <v>45958</v>
      </c>
      <c r="U78" s="182"/>
      <c r="V78" s="182">
        <v>45958</v>
      </c>
      <c r="W78" s="179"/>
      <c r="X78" s="171">
        <v>45975</v>
      </c>
      <c r="Y78" s="171">
        <v>45996</v>
      </c>
      <c r="Z78" s="183">
        <v>45975</v>
      </c>
      <c r="AA78" s="211">
        <v>45975</v>
      </c>
      <c r="AB78" s="171">
        <v>45982</v>
      </c>
      <c r="AC78" s="146"/>
      <c r="AD78" s="171">
        <v>45981</v>
      </c>
      <c r="AE78" s="171">
        <v>45981</v>
      </c>
      <c r="AF78" s="171">
        <v>45960</v>
      </c>
      <c r="AG78" s="270" t="s">
        <v>812</v>
      </c>
      <c r="AH78" s="306" t="s">
        <v>1375</v>
      </c>
      <c r="AI78" s="182" t="s">
        <v>43</v>
      </c>
      <c r="AJ78" s="182" t="s">
        <v>43</v>
      </c>
      <c r="AK78" s="171">
        <v>45981</v>
      </c>
      <c r="AL78" s="171">
        <v>46009</v>
      </c>
      <c r="AM78" s="171">
        <v>45982</v>
      </c>
      <c r="AN78" s="171">
        <v>46009</v>
      </c>
      <c r="AO78" s="171" t="s">
        <v>1220</v>
      </c>
      <c r="AP78" s="171" t="s">
        <v>43</v>
      </c>
      <c r="AQ78" s="171" t="s">
        <v>43</v>
      </c>
      <c r="AR78" s="171">
        <v>46014</v>
      </c>
      <c r="AS78" s="179"/>
      <c r="AT78" s="33" t="s">
        <v>1376</v>
      </c>
      <c r="AU78" s="171" t="s">
        <v>43</v>
      </c>
      <c r="AV78" s="171" t="s">
        <v>43</v>
      </c>
      <c r="AW78" s="171" t="s">
        <v>43</v>
      </c>
      <c r="AX78" s="171" t="s">
        <v>43</v>
      </c>
      <c r="AY78" s="149" t="s">
        <v>677</v>
      </c>
      <c r="AZ78" s="179"/>
      <c r="BA78" s="214">
        <f>SUM(AA78+7*8)</f>
        <v>46031</v>
      </c>
      <c r="BB78" s="179"/>
      <c r="BC78" s="171"/>
      <c r="BD78" s="171">
        <v>46028</v>
      </c>
      <c r="BE78" s="149" t="s">
        <v>322</v>
      </c>
      <c r="BF78" s="149">
        <f t="shared" si="6"/>
        <v>7.5714285714285712</v>
      </c>
      <c r="BG78" s="33" t="s">
        <v>1372</v>
      </c>
    </row>
    <row r="79" spans="1:59" ht="266" x14ac:dyDescent="0.15">
      <c r="A79" s="132" t="s">
        <v>1377</v>
      </c>
      <c r="B79" s="33" t="s">
        <v>1378</v>
      </c>
      <c r="C79" s="33" t="s">
        <v>9</v>
      </c>
      <c r="D79" s="33" t="s">
        <v>1379</v>
      </c>
      <c r="E79" s="33"/>
      <c r="F79" s="33" t="s">
        <v>1380</v>
      </c>
      <c r="G79" s="193" t="s">
        <v>819</v>
      </c>
      <c r="H79" s="33"/>
      <c r="I79" s="33"/>
      <c r="J79" s="33"/>
      <c r="K79" s="33"/>
      <c r="L79" s="171">
        <v>45834</v>
      </c>
      <c r="M79" s="171">
        <v>45848</v>
      </c>
      <c r="N79" s="171">
        <v>45952</v>
      </c>
      <c r="O79" s="33" t="s">
        <v>1381</v>
      </c>
      <c r="P79" s="33" t="s">
        <v>1144</v>
      </c>
      <c r="Q79" s="295">
        <v>45974</v>
      </c>
      <c r="R79" s="33"/>
      <c r="S79" s="152">
        <v>588</v>
      </c>
      <c r="T79" s="182">
        <v>45959</v>
      </c>
      <c r="U79" s="182"/>
      <c r="V79" s="182">
        <v>45959</v>
      </c>
      <c r="W79" s="33"/>
      <c r="X79" s="171">
        <v>45975</v>
      </c>
      <c r="Y79" s="171">
        <v>45996</v>
      </c>
      <c r="Z79" s="183">
        <v>45980</v>
      </c>
      <c r="AA79" s="211">
        <v>45980</v>
      </c>
      <c r="AB79" s="171">
        <v>45987</v>
      </c>
      <c r="AC79" s="33"/>
      <c r="AD79" s="171">
        <v>45986</v>
      </c>
      <c r="AE79" s="171">
        <v>45987</v>
      </c>
      <c r="AF79" s="171">
        <v>45966</v>
      </c>
      <c r="AG79" s="33" t="s">
        <v>1382</v>
      </c>
      <c r="AH79" s="33" t="s">
        <v>43</v>
      </c>
      <c r="AI79" s="182" t="s">
        <v>43</v>
      </c>
      <c r="AJ79" s="182" t="s">
        <v>43</v>
      </c>
      <c r="AK79" s="171">
        <v>45987</v>
      </c>
      <c r="AL79" s="171">
        <v>46021</v>
      </c>
      <c r="AM79" s="171">
        <v>45987</v>
      </c>
      <c r="AN79" s="171">
        <v>46021</v>
      </c>
      <c r="AO79" s="171" t="s">
        <v>43</v>
      </c>
      <c r="AP79" s="171" t="s">
        <v>43</v>
      </c>
      <c r="AQ79" s="171" t="s">
        <v>43</v>
      </c>
      <c r="AR79" s="171">
        <v>46024</v>
      </c>
      <c r="AS79" s="33" t="s">
        <v>43</v>
      </c>
      <c r="AT79" s="33" t="s">
        <v>1383</v>
      </c>
      <c r="AU79" s="171" t="s">
        <v>43</v>
      </c>
      <c r="AV79" s="171" t="s">
        <v>43</v>
      </c>
      <c r="AW79" s="171" t="s">
        <v>43</v>
      </c>
      <c r="AX79" s="171" t="s">
        <v>43</v>
      </c>
      <c r="AY79" s="149" t="s">
        <v>677</v>
      </c>
      <c r="AZ79" s="33" t="s">
        <v>43</v>
      </c>
      <c r="BA79" s="214">
        <f>SUM(AA79+7*8)</f>
        <v>46036</v>
      </c>
      <c r="BB79" s="33"/>
      <c r="BC79" s="33"/>
      <c r="BD79" s="171">
        <v>46030</v>
      </c>
      <c r="BE79" s="33" t="s">
        <v>322</v>
      </c>
      <c r="BF79" s="33">
        <f t="shared" si="6"/>
        <v>7.1428571428571432</v>
      </c>
      <c r="BG79" s="33" t="s">
        <v>1372</v>
      </c>
    </row>
    <row r="80" spans="1:59" ht="56" x14ac:dyDescent="0.15">
      <c r="A80" s="297" t="s">
        <v>1384</v>
      </c>
      <c r="B80" s="158" t="s">
        <v>1385</v>
      </c>
      <c r="C80" s="158" t="s">
        <v>9</v>
      </c>
      <c r="D80" s="146"/>
      <c r="E80" s="146"/>
      <c r="F80" s="158" t="s">
        <v>920</v>
      </c>
      <c r="G80" s="193" t="s">
        <v>1386</v>
      </c>
      <c r="H80" s="146"/>
      <c r="I80" s="146"/>
      <c r="J80" s="146"/>
      <c r="K80" s="146"/>
      <c r="L80" s="171">
        <v>45930</v>
      </c>
      <c r="M80" s="171">
        <v>45933</v>
      </c>
      <c r="N80" s="171">
        <v>45945</v>
      </c>
      <c r="O80" s="33" t="s">
        <v>1387</v>
      </c>
      <c r="P80" s="33" t="s">
        <v>1350</v>
      </c>
      <c r="Q80" s="295">
        <v>45972</v>
      </c>
      <c r="R80" s="146"/>
      <c r="S80" s="152">
        <v>298</v>
      </c>
      <c r="T80" s="182">
        <v>45952</v>
      </c>
      <c r="U80" s="182"/>
      <c r="V80" s="182">
        <v>45952</v>
      </c>
      <c r="W80" s="179"/>
      <c r="X80" s="171" t="s">
        <v>43</v>
      </c>
      <c r="Y80" s="171" t="s">
        <v>43</v>
      </c>
      <c r="Z80" s="183">
        <v>45966</v>
      </c>
      <c r="AA80" s="211">
        <v>45966</v>
      </c>
      <c r="AB80" s="171">
        <v>45973</v>
      </c>
      <c r="AC80" s="146"/>
      <c r="AD80" s="171">
        <v>45968</v>
      </c>
      <c r="AE80" s="171">
        <v>45968</v>
      </c>
      <c r="AF80" s="171">
        <v>45959</v>
      </c>
      <c r="AG80" s="169" t="s">
        <v>1388</v>
      </c>
      <c r="AH80" s="182" t="s">
        <v>43</v>
      </c>
      <c r="AI80" s="182" t="s">
        <v>43</v>
      </c>
      <c r="AJ80" s="149" t="s">
        <v>43</v>
      </c>
      <c r="AK80" s="171">
        <v>45968</v>
      </c>
      <c r="AL80" s="171">
        <v>45996</v>
      </c>
      <c r="AM80" s="171">
        <v>45971</v>
      </c>
      <c r="AN80" s="171">
        <v>45996</v>
      </c>
      <c r="AO80" s="169" t="s">
        <v>1389</v>
      </c>
      <c r="AP80" s="152">
        <v>507.47</v>
      </c>
      <c r="AQ80" s="214">
        <v>46008</v>
      </c>
      <c r="AR80" s="171">
        <v>46015</v>
      </c>
      <c r="AS80" s="183"/>
      <c r="AT80" s="169" t="s">
        <v>1390</v>
      </c>
      <c r="AU80" s="171" t="s">
        <v>43</v>
      </c>
      <c r="AV80" s="171" t="s">
        <v>43</v>
      </c>
      <c r="AW80" s="171" t="s">
        <v>43</v>
      </c>
      <c r="AX80" s="171" t="s">
        <v>43</v>
      </c>
      <c r="AY80" s="149" t="s">
        <v>677</v>
      </c>
      <c r="AZ80" s="179"/>
      <c r="BA80" s="214">
        <v>46031</v>
      </c>
      <c r="BB80" s="179"/>
      <c r="BC80" s="146"/>
      <c r="BD80" s="171">
        <v>46031</v>
      </c>
      <c r="BE80" s="33" t="s">
        <v>322</v>
      </c>
      <c r="BF80" s="33">
        <f t="shared" si="6"/>
        <v>9.2857142857142865</v>
      </c>
      <c r="BG80" s="33" t="s">
        <v>1391</v>
      </c>
    </row>
    <row r="81" spans="1:59" ht="84" x14ac:dyDescent="0.15">
      <c r="A81" s="297" t="s">
        <v>1392</v>
      </c>
      <c r="B81" s="158" t="s">
        <v>1393</v>
      </c>
      <c r="C81" s="158" t="s">
        <v>9</v>
      </c>
      <c r="D81" s="146"/>
      <c r="E81" s="146"/>
      <c r="F81" s="158" t="s">
        <v>1394</v>
      </c>
      <c r="G81" s="193" t="s">
        <v>819</v>
      </c>
      <c r="H81" s="146"/>
      <c r="I81" s="146"/>
      <c r="J81" s="146"/>
      <c r="K81" s="146"/>
      <c r="L81" s="171">
        <v>45952</v>
      </c>
      <c r="M81" s="171">
        <v>45966</v>
      </c>
      <c r="N81" s="171">
        <v>45966</v>
      </c>
      <c r="O81" s="33" t="s">
        <v>1395</v>
      </c>
      <c r="P81" s="33" t="s">
        <v>1396</v>
      </c>
      <c r="Q81" s="295">
        <v>45985</v>
      </c>
      <c r="R81" s="146"/>
      <c r="S81" s="152">
        <v>588</v>
      </c>
      <c r="T81" s="182">
        <v>45972</v>
      </c>
      <c r="U81" s="182"/>
      <c r="V81" s="182">
        <v>45972</v>
      </c>
      <c r="W81" s="179"/>
      <c r="X81" s="171" t="s">
        <v>43</v>
      </c>
      <c r="Y81" s="171" t="s">
        <v>43</v>
      </c>
      <c r="Z81" s="183">
        <v>45981</v>
      </c>
      <c r="AA81" s="211">
        <v>45981</v>
      </c>
      <c r="AB81" s="171">
        <v>45988</v>
      </c>
      <c r="AC81" s="146"/>
      <c r="AD81" s="171">
        <v>45988</v>
      </c>
      <c r="AE81" s="171">
        <v>45988</v>
      </c>
      <c r="AF81" s="171">
        <v>45975</v>
      </c>
      <c r="AG81" s="33" t="s">
        <v>1397</v>
      </c>
      <c r="AH81" s="171" t="s">
        <v>43</v>
      </c>
      <c r="AI81" s="149" t="s">
        <v>43</v>
      </c>
      <c r="AJ81" s="149" t="s">
        <v>43</v>
      </c>
      <c r="AK81" s="171">
        <v>45988</v>
      </c>
      <c r="AL81" s="171">
        <v>46021</v>
      </c>
      <c r="AM81" s="171">
        <v>45989</v>
      </c>
      <c r="AN81" s="171">
        <v>45991</v>
      </c>
      <c r="AO81" s="171" t="s">
        <v>43</v>
      </c>
      <c r="AP81" s="171" t="s">
        <v>43</v>
      </c>
      <c r="AQ81" s="171" t="s">
        <v>43</v>
      </c>
      <c r="AR81" s="171">
        <v>46029</v>
      </c>
      <c r="AS81" s="179"/>
      <c r="AT81" s="169" t="s">
        <v>1398</v>
      </c>
      <c r="AU81" s="171" t="s">
        <v>43</v>
      </c>
      <c r="AV81" s="171" t="s">
        <v>43</v>
      </c>
      <c r="AW81" s="171" t="s">
        <v>43</v>
      </c>
      <c r="AX81" s="171" t="s">
        <v>43</v>
      </c>
      <c r="AY81" s="149" t="s">
        <v>677</v>
      </c>
      <c r="AZ81" s="179"/>
      <c r="BA81" s="214">
        <f>SUM(AA81+7*8)</f>
        <v>46037</v>
      </c>
      <c r="BB81" s="179"/>
      <c r="BC81" s="146"/>
      <c r="BD81" s="171">
        <v>46036</v>
      </c>
      <c r="BE81" s="33" t="s">
        <v>258</v>
      </c>
      <c r="BF81" s="33">
        <f t="shared" si="6"/>
        <v>7.8571428571428568</v>
      </c>
      <c r="BG81" s="33" t="s">
        <v>1372</v>
      </c>
    </row>
    <row r="82" spans="1:59" ht="56" x14ac:dyDescent="0.15">
      <c r="A82" s="297" t="s">
        <v>1399</v>
      </c>
      <c r="B82" s="158" t="s">
        <v>1400</v>
      </c>
      <c r="C82" s="158" t="s">
        <v>9</v>
      </c>
      <c r="D82" s="146"/>
      <c r="E82" s="146"/>
      <c r="F82" s="158" t="s">
        <v>1401</v>
      </c>
      <c r="G82" s="193" t="s">
        <v>755</v>
      </c>
      <c r="H82" s="146"/>
      <c r="I82" s="146"/>
      <c r="J82" s="146"/>
      <c r="K82" s="146"/>
      <c r="L82" s="171">
        <v>45971</v>
      </c>
      <c r="M82" s="171">
        <v>45982</v>
      </c>
      <c r="N82" s="171">
        <v>45982</v>
      </c>
      <c r="O82" s="33" t="s">
        <v>1402</v>
      </c>
      <c r="P82" s="33" t="s">
        <v>1403</v>
      </c>
      <c r="Q82" s="295">
        <v>45999</v>
      </c>
      <c r="R82" s="146"/>
      <c r="S82" s="152">
        <v>588</v>
      </c>
      <c r="T82" s="182">
        <v>45993</v>
      </c>
      <c r="U82" s="182"/>
      <c r="V82" s="182">
        <v>45993</v>
      </c>
      <c r="W82" s="179"/>
      <c r="X82" s="182">
        <v>45994</v>
      </c>
      <c r="Y82" s="182">
        <v>46015</v>
      </c>
      <c r="Z82" s="171">
        <v>45994</v>
      </c>
      <c r="AA82" s="211">
        <v>45994</v>
      </c>
      <c r="AB82" s="214">
        <v>46001</v>
      </c>
      <c r="AC82" s="146"/>
      <c r="AD82" s="171">
        <v>46000</v>
      </c>
      <c r="AE82" s="171">
        <v>46000</v>
      </c>
      <c r="AF82" s="171">
        <v>45995</v>
      </c>
      <c r="AG82" s="270" t="s">
        <v>1404</v>
      </c>
      <c r="AH82" s="152">
        <v>8840</v>
      </c>
      <c r="AI82" s="149" t="s">
        <v>43</v>
      </c>
      <c r="AJ82" s="149" t="s">
        <v>43</v>
      </c>
      <c r="AK82" s="171">
        <v>46000</v>
      </c>
      <c r="AL82" s="171">
        <v>45669</v>
      </c>
      <c r="AM82" s="171">
        <v>46001</v>
      </c>
      <c r="AN82" s="171">
        <v>46034</v>
      </c>
      <c r="AO82" s="169" t="s">
        <v>1405</v>
      </c>
      <c r="AP82" s="152">
        <v>459.72</v>
      </c>
      <c r="AQ82" s="171">
        <v>46034</v>
      </c>
      <c r="AR82" s="171">
        <v>46035</v>
      </c>
      <c r="AS82" s="171" t="s">
        <v>43</v>
      </c>
      <c r="AT82" s="171">
        <v>45999</v>
      </c>
      <c r="AU82" s="171" t="s">
        <v>43</v>
      </c>
      <c r="AV82" s="171" t="s">
        <v>43</v>
      </c>
      <c r="AW82" s="171" t="s">
        <v>43</v>
      </c>
      <c r="AX82" s="171" t="s">
        <v>43</v>
      </c>
      <c r="AY82" s="149" t="s">
        <v>677</v>
      </c>
      <c r="AZ82" s="179"/>
      <c r="BA82" s="214">
        <f>SUM(AA82+7*8)</f>
        <v>46050</v>
      </c>
      <c r="BB82" s="179"/>
      <c r="BC82" s="146"/>
      <c r="BD82" s="171">
        <v>46037</v>
      </c>
      <c r="BE82" s="33" t="s">
        <v>322</v>
      </c>
      <c r="BF82" s="33">
        <f t="shared" si="6"/>
        <v>6.1428571428571432</v>
      </c>
      <c r="BG82" s="33" t="s">
        <v>1391</v>
      </c>
    </row>
    <row r="83" spans="1:59" ht="98" x14ac:dyDescent="0.15">
      <c r="A83" s="297" t="s">
        <v>1406</v>
      </c>
      <c r="B83" s="158" t="s">
        <v>1407</v>
      </c>
      <c r="C83" s="158" t="s">
        <v>9</v>
      </c>
      <c r="D83" s="146"/>
      <c r="E83" s="146"/>
      <c r="F83" s="158" t="s">
        <v>1408</v>
      </c>
      <c r="G83" s="193" t="s">
        <v>1409</v>
      </c>
      <c r="H83" s="146"/>
      <c r="I83" s="146"/>
      <c r="J83" s="146"/>
      <c r="K83" s="146"/>
      <c r="L83" s="171">
        <v>45916</v>
      </c>
      <c r="M83" s="171">
        <v>45930</v>
      </c>
      <c r="N83" s="171">
        <v>45926</v>
      </c>
      <c r="O83" s="33" t="s">
        <v>1410</v>
      </c>
      <c r="P83" s="33" t="s">
        <v>1411</v>
      </c>
      <c r="Q83" s="295">
        <v>45929</v>
      </c>
      <c r="R83" s="146"/>
      <c r="S83" s="152">
        <v>588</v>
      </c>
      <c r="T83" s="182">
        <v>45932</v>
      </c>
      <c r="U83" s="182"/>
      <c r="V83" s="182">
        <v>45932</v>
      </c>
      <c r="W83" s="179"/>
      <c r="X83" s="171">
        <v>45938</v>
      </c>
      <c r="Y83" s="171">
        <v>45959</v>
      </c>
      <c r="Z83" s="183">
        <v>45940</v>
      </c>
      <c r="AA83" s="211">
        <v>45982</v>
      </c>
      <c r="AB83" s="171">
        <v>45989</v>
      </c>
      <c r="AC83" s="146"/>
      <c r="AD83" s="171">
        <v>45992</v>
      </c>
      <c r="AE83" s="171">
        <v>45992</v>
      </c>
      <c r="AF83" s="171">
        <v>45936</v>
      </c>
      <c r="AG83" s="169" t="s">
        <v>1412</v>
      </c>
      <c r="AH83" s="182" t="s">
        <v>43</v>
      </c>
      <c r="AI83" s="182" t="s">
        <v>43</v>
      </c>
      <c r="AJ83" s="149" t="s">
        <v>43</v>
      </c>
      <c r="AK83" s="171">
        <v>45992</v>
      </c>
      <c r="AL83" s="171">
        <v>46022</v>
      </c>
      <c r="AM83" s="171">
        <v>45992</v>
      </c>
      <c r="AN83" s="171">
        <v>46022</v>
      </c>
      <c r="AO83" s="171" t="s">
        <v>43</v>
      </c>
      <c r="AP83" s="171" t="s">
        <v>43</v>
      </c>
      <c r="AQ83" s="171" t="s">
        <v>43</v>
      </c>
      <c r="AR83" s="171">
        <v>46029</v>
      </c>
      <c r="AS83" s="183" t="s">
        <v>43</v>
      </c>
      <c r="AT83" s="169" t="s">
        <v>1413</v>
      </c>
      <c r="AU83" s="171" t="s">
        <v>43</v>
      </c>
      <c r="AV83" s="171" t="s">
        <v>43</v>
      </c>
      <c r="AW83" s="171" t="s">
        <v>43</v>
      </c>
      <c r="AX83" s="171" t="s">
        <v>43</v>
      </c>
      <c r="AY83" s="149" t="s">
        <v>677</v>
      </c>
      <c r="AZ83" s="179"/>
      <c r="BA83" s="214">
        <f t="shared" si="5"/>
        <v>46038</v>
      </c>
      <c r="BB83" s="179"/>
      <c r="BC83" s="146"/>
      <c r="BD83" s="171">
        <v>46038</v>
      </c>
      <c r="BE83" s="33" t="s">
        <v>322</v>
      </c>
      <c r="BF83" s="33">
        <f t="shared" si="6"/>
        <v>8</v>
      </c>
      <c r="BG83" s="33" t="s">
        <v>1042</v>
      </c>
    </row>
    <row r="84" spans="1:59" ht="182" x14ac:dyDescent="0.15">
      <c r="A84" s="297" t="s">
        <v>1414</v>
      </c>
      <c r="B84" s="158" t="s">
        <v>1415</v>
      </c>
      <c r="C84" s="158" t="s">
        <v>9</v>
      </c>
      <c r="D84" s="146"/>
      <c r="E84" s="146"/>
      <c r="F84" s="158" t="s">
        <v>941</v>
      </c>
      <c r="G84" s="193" t="s">
        <v>1316</v>
      </c>
      <c r="H84" s="146"/>
      <c r="I84" s="146"/>
      <c r="J84" s="146"/>
      <c r="K84" s="146"/>
      <c r="L84" s="171">
        <v>45951</v>
      </c>
      <c r="M84" s="171">
        <v>45966</v>
      </c>
      <c r="N84" s="171">
        <v>45982</v>
      </c>
      <c r="O84" s="33" t="s">
        <v>1416</v>
      </c>
      <c r="P84" s="33" t="s">
        <v>1241</v>
      </c>
      <c r="Q84" s="295">
        <v>45999</v>
      </c>
      <c r="R84" s="146"/>
      <c r="S84" s="152">
        <v>588</v>
      </c>
      <c r="T84" s="182">
        <v>45992</v>
      </c>
      <c r="U84" s="182"/>
      <c r="V84" s="182">
        <v>45993</v>
      </c>
      <c r="W84" s="179"/>
      <c r="X84" s="182">
        <v>45994</v>
      </c>
      <c r="Y84" s="182">
        <v>46015</v>
      </c>
      <c r="Z84" s="171">
        <v>45996</v>
      </c>
      <c r="AA84" s="211">
        <v>45996</v>
      </c>
      <c r="AB84" s="214">
        <v>46003</v>
      </c>
      <c r="AC84" s="146"/>
      <c r="AD84" s="171">
        <v>46001</v>
      </c>
      <c r="AE84" s="171">
        <v>46001</v>
      </c>
      <c r="AF84" s="171">
        <v>46007</v>
      </c>
      <c r="AG84" s="33" t="s">
        <v>1417</v>
      </c>
      <c r="AH84" s="152" t="s">
        <v>43</v>
      </c>
      <c r="AI84" s="149" t="s">
        <v>43</v>
      </c>
      <c r="AJ84" s="149" t="s">
        <v>43</v>
      </c>
      <c r="AK84" s="171">
        <v>46001</v>
      </c>
      <c r="AL84" s="171">
        <v>45670</v>
      </c>
      <c r="AM84" s="171">
        <v>46002</v>
      </c>
      <c r="AN84" s="171">
        <v>46035</v>
      </c>
      <c r="AO84" s="171" t="s">
        <v>43</v>
      </c>
      <c r="AP84" s="171" t="s">
        <v>43</v>
      </c>
      <c r="AQ84" s="171" t="s">
        <v>43</v>
      </c>
      <c r="AR84" s="171">
        <v>46042</v>
      </c>
      <c r="AS84" s="179"/>
      <c r="AT84" s="171">
        <v>45999</v>
      </c>
      <c r="AU84" s="171" t="s">
        <v>43</v>
      </c>
      <c r="AV84" s="171" t="s">
        <v>43</v>
      </c>
      <c r="AW84" s="171" t="s">
        <v>43</v>
      </c>
      <c r="AX84" s="171" t="s">
        <v>43</v>
      </c>
      <c r="AY84" s="149" t="s">
        <v>677</v>
      </c>
      <c r="AZ84" s="179"/>
      <c r="BA84" s="214">
        <f>SUM(AA84+7*8)</f>
        <v>46052</v>
      </c>
      <c r="BB84" s="179"/>
      <c r="BC84" s="146"/>
      <c r="BD84" s="171">
        <v>46042</v>
      </c>
      <c r="BE84" s="33" t="s">
        <v>322</v>
      </c>
      <c r="BF84" s="33">
        <f t="shared" si="6"/>
        <v>6.5714285714285712</v>
      </c>
      <c r="BG84" s="33" t="s">
        <v>1042</v>
      </c>
    </row>
    <row r="85" spans="1:59" ht="126" x14ac:dyDescent="0.15">
      <c r="A85" s="297" t="s">
        <v>1418</v>
      </c>
      <c r="B85" s="158" t="s">
        <v>1419</v>
      </c>
      <c r="C85" s="158" t="s">
        <v>9</v>
      </c>
      <c r="D85" s="146"/>
      <c r="E85" s="146"/>
      <c r="F85" s="158" t="s">
        <v>1420</v>
      </c>
      <c r="G85" s="193" t="s">
        <v>1409</v>
      </c>
      <c r="H85" s="146"/>
      <c r="I85" s="146"/>
      <c r="J85" s="146"/>
      <c r="K85" s="146"/>
      <c r="L85" s="171">
        <v>45981</v>
      </c>
      <c r="M85" s="171">
        <v>45996</v>
      </c>
      <c r="N85" s="171">
        <v>45980</v>
      </c>
      <c r="O85" s="33" t="s">
        <v>1421</v>
      </c>
      <c r="P85" s="33" t="s">
        <v>1241</v>
      </c>
      <c r="Q85" s="295">
        <v>45999</v>
      </c>
      <c r="R85" s="146"/>
      <c r="S85" s="152">
        <v>588</v>
      </c>
      <c r="T85" s="182">
        <v>45987</v>
      </c>
      <c r="U85" s="182"/>
      <c r="V85" s="182">
        <v>45987</v>
      </c>
      <c r="W85" s="179"/>
      <c r="X85" s="182">
        <v>45993</v>
      </c>
      <c r="Y85" s="182">
        <v>46014</v>
      </c>
      <c r="Z85" s="171">
        <v>45999</v>
      </c>
      <c r="AA85" s="211">
        <v>45999</v>
      </c>
      <c r="AB85" s="214">
        <v>46006</v>
      </c>
      <c r="AC85" s="146"/>
      <c r="AD85" s="171">
        <v>46003</v>
      </c>
      <c r="AE85" s="171">
        <v>46003</v>
      </c>
      <c r="AF85" s="171">
        <v>45996</v>
      </c>
      <c r="AG85" s="270" t="s">
        <v>1404</v>
      </c>
      <c r="AH85" s="152">
        <v>23375.13</v>
      </c>
      <c r="AI85" s="149" t="s">
        <v>43</v>
      </c>
      <c r="AJ85" s="149" t="s">
        <v>43</v>
      </c>
      <c r="AK85" s="171">
        <v>46003</v>
      </c>
      <c r="AL85" s="171">
        <v>46036</v>
      </c>
      <c r="AM85" s="171">
        <v>46006</v>
      </c>
      <c r="AN85" s="171">
        <v>46036</v>
      </c>
      <c r="AO85" s="169" t="s">
        <v>1422</v>
      </c>
      <c r="AP85" s="152">
        <v>555.22</v>
      </c>
      <c r="AQ85" s="171">
        <v>46036</v>
      </c>
      <c r="AR85" s="171"/>
      <c r="AS85" s="171" t="s">
        <v>43</v>
      </c>
      <c r="AT85" s="171">
        <v>45999</v>
      </c>
      <c r="AU85" s="171" t="s">
        <v>43</v>
      </c>
      <c r="AV85" s="171" t="s">
        <v>43</v>
      </c>
      <c r="AW85" s="171" t="s">
        <v>43</v>
      </c>
      <c r="AX85" s="171" t="s">
        <v>43</v>
      </c>
      <c r="AY85" s="149" t="s">
        <v>677</v>
      </c>
      <c r="AZ85" s="179"/>
      <c r="BA85" s="214">
        <f>SUM(AA85+7*8)</f>
        <v>46055</v>
      </c>
      <c r="BB85" s="179"/>
      <c r="BC85" s="146"/>
      <c r="BD85" s="171">
        <v>46043</v>
      </c>
      <c r="BE85" s="149" t="s">
        <v>322</v>
      </c>
      <c r="BF85" s="33">
        <f t="shared" si="6"/>
        <v>6.2857142857142856</v>
      </c>
      <c r="BG85" s="33" t="s">
        <v>1042</v>
      </c>
    </row>
    <row r="86" spans="1:59" ht="84" x14ac:dyDescent="0.15">
      <c r="A86" s="297" t="s">
        <v>1423</v>
      </c>
      <c r="B86" s="158" t="s">
        <v>1424</v>
      </c>
      <c r="C86" s="158" t="s">
        <v>9</v>
      </c>
      <c r="D86" s="146"/>
      <c r="E86" s="146"/>
      <c r="F86" s="158" t="s">
        <v>1425</v>
      </c>
      <c r="G86" s="193" t="s">
        <v>819</v>
      </c>
      <c r="H86" s="146"/>
      <c r="I86" s="146"/>
      <c r="J86" s="146"/>
      <c r="K86" s="146"/>
      <c r="L86" s="171">
        <v>45922</v>
      </c>
      <c r="M86" s="171">
        <v>45936</v>
      </c>
      <c r="N86" s="171">
        <v>45971</v>
      </c>
      <c r="O86" s="33" t="s">
        <v>1426</v>
      </c>
      <c r="P86" s="33" t="s">
        <v>1427</v>
      </c>
      <c r="Q86" s="295">
        <v>45999</v>
      </c>
      <c r="R86" s="146"/>
      <c r="S86" s="152">
        <v>4704</v>
      </c>
      <c r="T86" s="182">
        <v>45974</v>
      </c>
      <c r="U86" s="182"/>
      <c r="V86" s="182">
        <v>45974</v>
      </c>
      <c r="W86" s="179"/>
      <c r="X86" s="182">
        <v>45993</v>
      </c>
      <c r="Y86" s="182">
        <v>46014</v>
      </c>
      <c r="Z86" s="171">
        <v>45994</v>
      </c>
      <c r="AA86" s="211">
        <v>46000</v>
      </c>
      <c r="AB86" s="171">
        <v>46007</v>
      </c>
      <c r="AC86" s="146"/>
      <c r="AD86" s="171">
        <v>46007</v>
      </c>
      <c r="AE86" s="171">
        <v>46007</v>
      </c>
      <c r="AF86" s="171">
        <v>45980</v>
      </c>
      <c r="AG86" s="270" t="s">
        <v>1404</v>
      </c>
      <c r="AH86" s="152">
        <v>49196.43</v>
      </c>
      <c r="AI86" s="149" t="s">
        <v>43</v>
      </c>
      <c r="AJ86" s="149" t="s">
        <v>43</v>
      </c>
      <c r="AK86" s="171">
        <v>46007</v>
      </c>
      <c r="AL86" s="171">
        <v>46038</v>
      </c>
      <c r="AM86" s="171">
        <v>46007</v>
      </c>
      <c r="AN86" s="171">
        <v>46038</v>
      </c>
      <c r="AO86" s="171" t="s">
        <v>43</v>
      </c>
      <c r="AP86" s="171" t="s">
        <v>43</v>
      </c>
      <c r="AQ86" s="171" t="s">
        <v>43</v>
      </c>
      <c r="AR86" s="171">
        <v>46043</v>
      </c>
      <c r="AS86" s="171" t="s">
        <v>43</v>
      </c>
      <c r="AT86" s="171">
        <v>45999</v>
      </c>
      <c r="AU86" s="171" t="s">
        <v>43</v>
      </c>
      <c r="AV86" s="171" t="s">
        <v>43</v>
      </c>
      <c r="AW86" s="171" t="s">
        <v>43</v>
      </c>
      <c r="AX86" s="171"/>
      <c r="AY86" s="149" t="s">
        <v>677</v>
      </c>
      <c r="AZ86" s="179"/>
      <c r="BA86" s="214">
        <f>SUM(AA86+7*8)</f>
        <v>46056</v>
      </c>
      <c r="BB86" s="179"/>
      <c r="BC86" s="146"/>
      <c r="BD86" s="171">
        <v>46050</v>
      </c>
      <c r="BE86" s="149" t="s">
        <v>322</v>
      </c>
      <c r="BF86" s="33">
        <f t="shared" si="6"/>
        <v>7.1428571428571432</v>
      </c>
      <c r="BG86" s="33" t="s">
        <v>1042</v>
      </c>
    </row>
    <row r="87" spans="1:59" ht="140" x14ac:dyDescent="0.15">
      <c r="A87" s="300" t="s">
        <v>1428</v>
      </c>
      <c r="B87" s="33" t="s">
        <v>1429</v>
      </c>
      <c r="C87" s="33" t="s">
        <v>9</v>
      </c>
      <c r="D87" s="33"/>
      <c r="E87" s="33"/>
      <c r="F87" s="33" t="s">
        <v>1430</v>
      </c>
      <c r="G87" s="193" t="s">
        <v>968</v>
      </c>
      <c r="H87" s="146"/>
      <c r="I87" s="146"/>
      <c r="J87" s="146"/>
      <c r="K87" s="146"/>
      <c r="L87" s="171">
        <v>45740</v>
      </c>
      <c r="M87" s="33" t="s">
        <v>969</v>
      </c>
      <c r="N87" s="171">
        <v>45964</v>
      </c>
      <c r="O87" s="33" t="s">
        <v>1431</v>
      </c>
      <c r="P87" s="33" t="s">
        <v>1396</v>
      </c>
      <c r="Q87" s="295">
        <v>45985</v>
      </c>
      <c r="R87" s="149" t="s">
        <v>1432</v>
      </c>
      <c r="S87" s="152">
        <v>1176</v>
      </c>
      <c r="T87" s="182">
        <v>45971</v>
      </c>
      <c r="U87" s="182"/>
      <c r="V87" s="182">
        <v>45971</v>
      </c>
      <c r="W87" s="179"/>
      <c r="X87" s="171" t="s">
        <v>43</v>
      </c>
      <c r="Y87" s="171" t="s">
        <v>43</v>
      </c>
      <c r="Z87" s="183">
        <v>45980</v>
      </c>
      <c r="AA87" s="211">
        <v>45980</v>
      </c>
      <c r="AB87" s="171">
        <v>45987</v>
      </c>
      <c r="AC87" s="146"/>
      <c r="AD87" s="171">
        <v>45987</v>
      </c>
      <c r="AE87" s="171">
        <v>45987</v>
      </c>
      <c r="AF87" s="171">
        <v>45975</v>
      </c>
      <c r="AG87" s="270" t="s">
        <v>1404</v>
      </c>
      <c r="AH87" s="152">
        <v>15241.47</v>
      </c>
      <c r="AI87" s="149" t="s">
        <v>43</v>
      </c>
      <c r="AJ87" s="149" t="s">
        <v>43</v>
      </c>
      <c r="AK87" s="171">
        <v>45987</v>
      </c>
      <c r="AL87" s="171">
        <v>46015</v>
      </c>
      <c r="AM87" s="171">
        <v>45988</v>
      </c>
      <c r="AN87" s="169" t="s">
        <v>1433</v>
      </c>
      <c r="AO87" s="169" t="s">
        <v>1434</v>
      </c>
      <c r="AP87" s="152">
        <v>555.22</v>
      </c>
      <c r="AQ87" s="171">
        <v>46015</v>
      </c>
      <c r="AR87" s="171">
        <v>46035</v>
      </c>
      <c r="AS87" s="171" t="s">
        <v>43</v>
      </c>
      <c r="AT87" s="169" t="s">
        <v>1435</v>
      </c>
      <c r="AU87" s="171" t="s">
        <v>43</v>
      </c>
      <c r="AV87" s="171" t="s">
        <v>43</v>
      </c>
      <c r="AW87" s="171" t="s">
        <v>43</v>
      </c>
      <c r="AX87" s="171" t="s">
        <v>43</v>
      </c>
      <c r="AY87" s="149" t="s">
        <v>677</v>
      </c>
      <c r="AZ87" s="171"/>
      <c r="BA87" s="214">
        <v>46048</v>
      </c>
      <c r="BB87" s="171"/>
      <c r="BC87" s="149"/>
      <c r="BD87" s="169">
        <v>46058</v>
      </c>
      <c r="BE87" s="149" t="s">
        <v>258</v>
      </c>
      <c r="BF87" s="33">
        <f t="shared" si="6"/>
        <v>11.142857142857142</v>
      </c>
      <c r="BG87" s="33" t="s">
        <v>1436</v>
      </c>
    </row>
    <row r="88" spans="1:59" ht="126" x14ac:dyDescent="0.15">
      <c r="A88" s="132" t="s">
        <v>1437</v>
      </c>
      <c r="B88" s="33" t="s">
        <v>1438</v>
      </c>
      <c r="C88" s="33" t="s">
        <v>9</v>
      </c>
      <c r="D88" s="33"/>
      <c r="E88" s="33"/>
      <c r="F88" s="33" t="s">
        <v>1439</v>
      </c>
      <c r="G88" s="193" t="s">
        <v>968</v>
      </c>
      <c r="H88" s="33"/>
      <c r="I88" s="33"/>
      <c r="J88" s="33"/>
      <c r="K88" s="33"/>
      <c r="L88" s="171">
        <v>46000</v>
      </c>
      <c r="M88" s="33" t="s">
        <v>1440</v>
      </c>
      <c r="N88" s="171">
        <v>46028</v>
      </c>
      <c r="O88" s="33" t="s">
        <v>1441</v>
      </c>
      <c r="P88" s="33" t="s">
        <v>1442</v>
      </c>
      <c r="Q88" s="146"/>
      <c r="R88" s="146"/>
      <c r="S88" s="152">
        <v>588</v>
      </c>
      <c r="T88" s="182">
        <v>46034</v>
      </c>
      <c r="U88" s="179"/>
      <c r="V88" s="182">
        <v>46034</v>
      </c>
      <c r="W88" s="179"/>
      <c r="X88" s="182">
        <v>46043</v>
      </c>
      <c r="Y88" s="182">
        <v>46064</v>
      </c>
      <c r="Z88" s="170" t="s">
        <v>1443</v>
      </c>
      <c r="AA88" s="211">
        <v>46051</v>
      </c>
      <c r="AB88" s="171">
        <f>AA88+7</f>
        <v>46058</v>
      </c>
      <c r="AC88" s="146"/>
      <c r="AD88" s="179"/>
      <c r="AE88" s="307" t="s">
        <v>1444</v>
      </c>
      <c r="AF88" s="171">
        <v>46041</v>
      </c>
      <c r="AG88" s="33" t="s">
        <v>1445</v>
      </c>
      <c r="AH88" s="183" t="s">
        <v>43</v>
      </c>
      <c r="AI88" s="146"/>
      <c r="AJ88" s="146"/>
      <c r="AK88" s="179"/>
      <c r="AL88" s="171" t="s">
        <v>1446</v>
      </c>
      <c r="AM88" s="179"/>
      <c r="AN88" s="179"/>
      <c r="AO88" s="179"/>
      <c r="AP88" s="146"/>
      <c r="AQ88" s="179"/>
      <c r="AR88" s="179"/>
      <c r="AS88" s="179"/>
      <c r="AT88" s="179"/>
      <c r="AU88" s="179"/>
      <c r="AV88" s="179"/>
      <c r="AW88" s="179"/>
      <c r="AX88" s="179"/>
      <c r="AY88" s="146"/>
      <c r="AZ88" s="179"/>
      <c r="BA88" s="214">
        <f>SUM(AA88+7*8)</f>
        <v>46107</v>
      </c>
      <c r="BB88" s="179"/>
      <c r="BC88" s="146"/>
      <c r="BD88" s="179"/>
      <c r="BE88" s="146"/>
      <c r="BF88" s="33"/>
      <c r="BG88" s="33" t="s">
        <v>1447</v>
      </c>
    </row>
    <row r="89" spans="1:59" ht="168" x14ac:dyDescent="0.15">
      <c r="A89" s="132" t="s">
        <v>1448</v>
      </c>
      <c r="B89" s="33" t="s">
        <v>1449</v>
      </c>
      <c r="C89" s="33" t="s">
        <v>9</v>
      </c>
      <c r="D89" s="33"/>
      <c r="E89" s="33"/>
      <c r="F89" s="33"/>
      <c r="G89" s="193" t="s">
        <v>1450</v>
      </c>
      <c r="H89" s="33"/>
      <c r="I89" s="33"/>
      <c r="J89" s="33"/>
      <c r="K89" s="33"/>
      <c r="L89" s="171">
        <v>46000</v>
      </c>
      <c r="M89" s="33" t="s">
        <v>969</v>
      </c>
      <c r="N89" s="171">
        <v>46043</v>
      </c>
      <c r="O89" s="33" t="s">
        <v>1451</v>
      </c>
      <c r="P89" s="33" t="s">
        <v>1442</v>
      </c>
      <c r="Q89" s="308"/>
      <c r="R89" s="146"/>
      <c r="S89" s="152">
        <v>4704</v>
      </c>
      <c r="T89" s="171">
        <v>46048</v>
      </c>
      <c r="U89" s="179"/>
      <c r="V89" s="182">
        <v>46048</v>
      </c>
      <c r="W89" s="182"/>
      <c r="X89" s="182" t="s">
        <v>43</v>
      </c>
      <c r="Y89" s="171" t="s">
        <v>43</v>
      </c>
      <c r="Z89" s="171" t="s">
        <v>1452</v>
      </c>
      <c r="AA89" s="211">
        <v>46052</v>
      </c>
      <c r="AB89" s="171">
        <f>AA89+7</f>
        <v>46059</v>
      </c>
      <c r="AC89" s="146"/>
      <c r="AD89" s="179"/>
      <c r="AE89" s="179"/>
      <c r="AF89" s="179"/>
      <c r="AG89" s="33" t="s">
        <v>1453</v>
      </c>
      <c r="AH89" s="183" t="s">
        <v>43</v>
      </c>
      <c r="AI89" s="146"/>
      <c r="AJ89" s="146"/>
      <c r="AK89" s="179"/>
      <c r="AL89" s="171"/>
      <c r="AM89" s="179"/>
      <c r="AN89" s="179"/>
      <c r="AO89" s="179"/>
      <c r="AP89" s="146"/>
      <c r="AQ89" s="179"/>
      <c r="AR89" s="179"/>
      <c r="AS89" s="179"/>
      <c r="AT89" s="179"/>
      <c r="AU89" s="179"/>
      <c r="AV89" s="179"/>
      <c r="AW89" s="179"/>
      <c r="AX89" s="179"/>
      <c r="AY89" s="146"/>
      <c r="AZ89" s="179"/>
      <c r="BA89" s="214">
        <f>SUM(AA89+7*8)</f>
        <v>46108</v>
      </c>
      <c r="BB89" s="179"/>
      <c r="BC89" s="146"/>
      <c r="BD89" s="179"/>
      <c r="BE89" s="146"/>
      <c r="BF89" s="33"/>
      <c r="BG89" s="33" t="s">
        <v>1447</v>
      </c>
    </row>
    <row r="90" spans="1:59" ht="56" x14ac:dyDescent="0.15">
      <c r="A90" s="297" t="s">
        <v>1454</v>
      </c>
      <c r="B90" s="158" t="s">
        <v>1455</v>
      </c>
      <c r="C90" s="158" t="s">
        <v>9</v>
      </c>
      <c r="D90" s="158"/>
      <c r="E90" s="146"/>
      <c r="F90" s="158" t="s">
        <v>1456</v>
      </c>
      <c r="G90" s="193" t="s">
        <v>1047</v>
      </c>
      <c r="H90" s="146"/>
      <c r="I90" s="146"/>
      <c r="J90" s="146"/>
      <c r="K90" s="146"/>
      <c r="L90" s="171">
        <v>45974</v>
      </c>
      <c r="M90" s="171">
        <v>45974</v>
      </c>
      <c r="N90" s="171">
        <v>45980</v>
      </c>
      <c r="O90" s="33" t="s">
        <v>1457</v>
      </c>
      <c r="P90" s="33" t="s">
        <v>1458</v>
      </c>
      <c r="Q90" s="295">
        <v>46030</v>
      </c>
      <c r="R90" s="146"/>
      <c r="S90" s="152">
        <v>588</v>
      </c>
      <c r="T90" s="182">
        <v>45988</v>
      </c>
      <c r="U90" s="182"/>
      <c r="V90" s="182">
        <v>45988</v>
      </c>
      <c r="W90" s="179"/>
      <c r="X90" s="182">
        <v>45993</v>
      </c>
      <c r="Y90" s="182">
        <v>46014</v>
      </c>
      <c r="Z90" s="171">
        <v>46002</v>
      </c>
      <c r="AA90" s="258">
        <v>46007</v>
      </c>
      <c r="AB90" s="171">
        <v>46014</v>
      </c>
      <c r="AC90" s="146"/>
      <c r="AD90" s="171">
        <v>46013</v>
      </c>
      <c r="AE90" s="171">
        <v>46013</v>
      </c>
      <c r="AF90" s="171">
        <v>45994</v>
      </c>
      <c r="AG90" s="33" t="s">
        <v>1459</v>
      </c>
      <c r="AH90" s="171" t="s">
        <v>43</v>
      </c>
      <c r="AI90" s="149" t="s">
        <v>43</v>
      </c>
      <c r="AJ90" s="149" t="s">
        <v>43</v>
      </c>
      <c r="AK90" s="171">
        <v>46013</v>
      </c>
      <c r="AL90" s="171">
        <v>46045</v>
      </c>
      <c r="AM90" s="171">
        <v>46013</v>
      </c>
      <c r="AN90" s="171">
        <v>46045</v>
      </c>
      <c r="AO90" s="169" t="s">
        <v>1460</v>
      </c>
      <c r="AP90" s="152">
        <v>507.47</v>
      </c>
      <c r="AQ90" s="214">
        <v>46050</v>
      </c>
      <c r="AR90" s="171">
        <v>46051</v>
      </c>
      <c r="AS90" s="171" t="s">
        <v>43</v>
      </c>
      <c r="AT90" s="169" t="s">
        <v>1461</v>
      </c>
      <c r="AU90" s="171" t="s">
        <v>43</v>
      </c>
      <c r="AV90" s="171" t="s">
        <v>43</v>
      </c>
      <c r="AW90" s="171" t="s">
        <v>43</v>
      </c>
      <c r="AX90" s="171" t="s">
        <v>43</v>
      </c>
      <c r="AY90" s="149" t="s">
        <v>677</v>
      </c>
      <c r="AZ90" s="179"/>
      <c r="BA90" s="214">
        <f t="shared" si="5"/>
        <v>46063</v>
      </c>
      <c r="BB90" s="179"/>
      <c r="BC90" s="146"/>
      <c r="BD90" s="169">
        <v>46062</v>
      </c>
      <c r="BE90" s="149" t="s">
        <v>258</v>
      </c>
      <c r="BF90" s="33">
        <f t="shared" si="6"/>
        <v>7.8571428571428568</v>
      </c>
      <c r="BG90" s="33" t="s">
        <v>1042</v>
      </c>
    </row>
    <row r="91" spans="1:59" ht="140" x14ac:dyDescent="0.15">
      <c r="A91" s="297" t="s">
        <v>1462</v>
      </c>
      <c r="B91" s="158" t="s">
        <v>1463</v>
      </c>
      <c r="C91" s="158" t="s">
        <v>9</v>
      </c>
      <c r="D91" s="158"/>
      <c r="E91" s="158"/>
      <c r="F91" s="158" t="s">
        <v>1464</v>
      </c>
      <c r="G91" s="193" t="s">
        <v>1150</v>
      </c>
      <c r="H91" s="146"/>
      <c r="I91" s="146"/>
      <c r="J91" s="146"/>
      <c r="K91" s="146"/>
      <c r="L91" s="171">
        <v>45971</v>
      </c>
      <c r="M91" s="171">
        <v>45985</v>
      </c>
      <c r="N91" s="171">
        <v>45994</v>
      </c>
      <c r="O91" s="33" t="s">
        <v>1465</v>
      </c>
      <c r="P91" s="33" t="s">
        <v>1466</v>
      </c>
      <c r="Q91" s="295">
        <v>46034</v>
      </c>
      <c r="R91" s="146"/>
      <c r="S91" s="150">
        <v>588</v>
      </c>
      <c r="T91" s="182">
        <v>46006</v>
      </c>
      <c r="U91" s="182"/>
      <c r="V91" s="182">
        <v>46006</v>
      </c>
      <c r="W91" s="179"/>
      <c r="X91" s="171" t="s">
        <v>43</v>
      </c>
      <c r="Y91" s="171" t="s">
        <v>43</v>
      </c>
      <c r="Z91" s="171">
        <v>46014</v>
      </c>
      <c r="AA91" s="214">
        <v>46014</v>
      </c>
      <c r="AB91" s="171">
        <v>46027</v>
      </c>
      <c r="AC91" s="146"/>
      <c r="AD91" s="171">
        <v>46027</v>
      </c>
      <c r="AE91" s="171">
        <v>46027</v>
      </c>
      <c r="AF91" s="171" t="s">
        <v>1467</v>
      </c>
      <c r="AG91" s="33" t="s">
        <v>1468</v>
      </c>
      <c r="AH91" s="152" t="s">
        <v>43</v>
      </c>
      <c r="AI91" s="152" t="s">
        <v>43</v>
      </c>
      <c r="AJ91" s="149" t="s">
        <v>43</v>
      </c>
      <c r="AK91" s="171">
        <v>46027</v>
      </c>
      <c r="AL91" s="171">
        <v>46055</v>
      </c>
      <c r="AM91" s="171">
        <v>46027</v>
      </c>
      <c r="AN91" s="171">
        <v>46055</v>
      </c>
      <c r="AO91" s="169" t="s">
        <v>1469</v>
      </c>
      <c r="AP91" s="152">
        <v>555.22</v>
      </c>
      <c r="AQ91" s="171">
        <v>46055</v>
      </c>
      <c r="AR91" s="171">
        <v>46059</v>
      </c>
      <c r="AS91" s="171" t="s">
        <v>43</v>
      </c>
      <c r="AT91" s="171" t="s">
        <v>1470</v>
      </c>
      <c r="AU91" s="171" t="s">
        <v>43</v>
      </c>
      <c r="AV91" s="171" t="s">
        <v>43</v>
      </c>
      <c r="AW91" s="171" t="s">
        <v>43</v>
      </c>
      <c r="AX91" s="171" t="s">
        <v>43</v>
      </c>
      <c r="AY91" s="149" t="s">
        <v>677</v>
      </c>
      <c r="AZ91" s="171" t="s">
        <v>43</v>
      </c>
      <c r="BA91" s="214">
        <f t="shared" si="5"/>
        <v>46070</v>
      </c>
      <c r="BB91" s="179"/>
      <c r="BC91" s="146"/>
      <c r="BD91" s="169">
        <v>46070</v>
      </c>
      <c r="BE91" s="149" t="s">
        <v>322</v>
      </c>
      <c r="BF91" s="33">
        <f t="shared" si="6"/>
        <v>8</v>
      </c>
      <c r="BG91" s="33" t="s">
        <v>1042</v>
      </c>
    </row>
    <row r="92" spans="1:59" ht="140" x14ac:dyDescent="0.15">
      <c r="A92" s="297" t="s">
        <v>1471</v>
      </c>
      <c r="B92" s="158" t="s">
        <v>1472</v>
      </c>
      <c r="C92" s="158" t="s">
        <v>9</v>
      </c>
      <c r="D92" s="146"/>
      <c r="E92" s="146"/>
      <c r="F92" s="158" t="s">
        <v>1473</v>
      </c>
      <c r="G92" s="193" t="s">
        <v>1409</v>
      </c>
      <c r="H92" s="146"/>
      <c r="I92" s="146"/>
      <c r="J92" s="146"/>
      <c r="K92" s="146"/>
      <c r="L92" s="169" t="s">
        <v>1474</v>
      </c>
      <c r="M92" s="169" t="s">
        <v>1475</v>
      </c>
      <c r="N92" s="171">
        <v>46002</v>
      </c>
      <c r="O92" s="33" t="s">
        <v>1476</v>
      </c>
      <c r="P92" s="33" t="s">
        <v>1477</v>
      </c>
      <c r="Q92" s="295">
        <v>46034</v>
      </c>
      <c r="R92" s="146"/>
      <c r="S92" s="150">
        <v>588</v>
      </c>
      <c r="T92" s="182">
        <v>46009</v>
      </c>
      <c r="U92" s="182"/>
      <c r="V92" s="182">
        <v>46009</v>
      </c>
      <c r="W92" s="179"/>
      <c r="X92" s="171" t="s">
        <v>43</v>
      </c>
      <c r="Y92" s="171" t="s">
        <v>43</v>
      </c>
      <c r="Z92" s="183">
        <v>46027</v>
      </c>
      <c r="AA92" s="214">
        <v>46027</v>
      </c>
      <c r="AB92" s="171">
        <v>46034</v>
      </c>
      <c r="AC92" s="146"/>
      <c r="AD92" s="171">
        <v>46031</v>
      </c>
      <c r="AE92" s="171">
        <v>46031</v>
      </c>
      <c r="AF92" s="171">
        <v>46015</v>
      </c>
      <c r="AG92" s="33" t="s">
        <v>1478</v>
      </c>
      <c r="AH92" s="152" t="s">
        <v>43</v>
      </c>
      <c r="AI92" s="152" t="s">
        <v>43</v>
      </c>
      <c r="AJ92" s="149" t="s">
        <v>43</v>
      </c>
      <c r="AK92" s="171">
        <v>46031</v>
      </c>
      <c r="AL92" s="171">
        <v>46059</v>
      </c>
      <c r="AM92" s="171">
        <v>46034</v>
      </c>
      <c r="AN92" s="171">
        <v>46059</v>
      </c>
      <c r="AO92" s="309" t="s">
        <v>43</v>
      </c>
      <c r="AP92" s="309" t="s">
        <v>43</v>
      </c>
      <c r="AQ92" s="183" t="s">
        <v>43</v>
      </c>
      <c r="AR92" s="171">
        <v>46062</v>
      </c>
      <c r="AS92" s="171" t="s">
        <v>43</v>
      </c>
      <c r="AT92" s="171" t="s">
        <v>1470</v>
      </c>
      <c r="AU92" s="171" t="s">
        <v>43</v>
      </c>
      <c r="AV92" s="171" t="s">
        <v>43</v>
      </c>
      <c r="AW92" s="171" t="s">
        <v>43</v>
      </c>
      <c r="AX92" s="171" t="s">
        <v>43</v>
      </c>
      <c r="AY92" s="149" t="s">
        <v>677</v>
      </c>
      <c r="AZ92" s="171" t="s">
        <v>43</v>
      </c>
      <c r="BA92" s="214">
        <f t="shared" si="5"/>
        <v>46083</v>
      </c>
      <c r="BB92" s="179"/>
      <c r="BC92" s="146"/>
      <c r="BD92" s="169">
        <v>46071</v>
      </c>
      <c r="BE92" s="149" t="s">
        <v>258</v>
      </c>
      <c r="BF92" s="33">
        <f t="shared" si="6"/>
        <v>6.2857142857142856</v>
      </c>
      <c r="BG92" s="33" t="s">
        <v>1042</v>
      </c>
    </row>
    <row r="93" spans="1:59" ht="56" x14ac:dyDescent="0.15">
      <c r="A93" s="297" t="s">
        <v>1479</v>
      </c>
      <c r="B93" s="158" t="s">
        <v>1480</v>
      </c>
      <c r="C93" s="158" t="s">
        <v>9</v>
      </c>
      <c r="D93" s="146"/>
      <c r="E93" s="146"/>
      <c r="F93" s="146"/>
      <c r="G93" s="193" t="s">
        <v>819</v>
      </c>
      <c r="H93" s="146"/>
      <c r="I93" s="146"/>
      <c r="J93" s="146"/>
      <c r="K93" s="146"/>
      <c r="L93" s="171">
        <v>45994</v>
      </c>
      <c r="M93" s="171">
        <v>46008</v>
      </c>
      <c r="N93" s="171">
        <v>46008</v>
      </c>
      <c r="O93" s="33" t="s">
        <v>1481</v>
      </c>
      <c r="P93" s="33" t="s">
        <v>1482</v>
      </c>
      <c r="Q93" s="295">
        <v>46049</v>
      </c>
      <c r="R93" s="146"/>
      <c r="S93" s="152">
        <v>1176</v>
      </c>
      <c r="T93" s="182">
        <v>46013</v>
      </c>
      <c r="U93" s="182"/>
      <c r="V93" s="182">
        <v>46013</v>
      </c>
      <c r="W93" s="179"/>
      <c r="X93" s="171" t="s">
        <v>43</v>
      </c>
      <c r="Y93" s="171" t="s">
        <v>43</v>
      </c>
      <c r="Z93" s="183">
        <v>46030</v>
      </c>
      <c r="AA93" s="211">
        <v>46030</v>
      </c>
      <c r="AB93" s="171">
        <f>AA93+7</f>
        <v>46037</v>
      </c>
      <c r="AC93" s="146"/>
      <c r="AD93" s="171">
        <v>46035</v>
      </c>
      <c r="AE93" s="171">
        <v>46035</v>
      </c>
      <c r="AF93" s="171">
        <v>46035</v>
      </c>
      <c r="AG93" s="270" t="s">
        <v>812</v>
      </c>
      <c r="AH93" s="152">
        <v>10982.14</v>
      </c>
      <c r="AI93" s="152" t="s">
        <v>43</v>
      </c>
      <c r="AJ93" s="149" t="s">
        <v>43</v>
      </c>
      <c r="AK93" s="171">
        <v>46035</v>
      </c>
      <c r="AL93" s="171">
        <v>46063</v>
      </c>
      <c r="AM93" s="171">
        <v>46036</v>
      </c>
      <c r="AN93" s="171">
        <v>46063</v>
      </c>
      <c r="AO93" s="309" t="s">
        <v>43</v>
      </c>
      <c r="AP93" s="309" t="s">
        <v>43</v>
      </c>
      <c r="AQ93" s="309" t="s">
        <v>43</v>
      </c>
      <c r="AR93" s="171">
        <v>46070</v>
      </c>
      <c r="AS93" s="171" t="s">
        <v>43</v>
      </c>
      <c r="AT93" s="169" t="s">
        <v>1483</v>
      </c>
      <c r="AU93" s="171" t="s">
        <v>43</v>
      </c>
      <c r="AV93" s="171" t="s">
        <v>43</v>
      </c>
      <c r="AW93" s="171" t="s">
        <v>43</v>
      </c>
      <c r="AX93" s="171" t="s">
        <v>43</v>
      </c>
      <c r="AY93" s="171" t="s">
        <v>677</v>
      </c>
      <c r="AZ93" s="179"/>
      <c r="BA93" s="214">
        <f t="shared" si="5"/>
        <v>46086</v>
      </c>
      <c r="BB93" s="179"/>
      <c r="BC93" s="146"/>
      <c r="BD93" s="169">
        <v>46079</v>
      </c>
      <c r="BE93" s="149" t="s">
        <v>322</v>
      </c>
      <c r="BF93" s="33">
        <f t="shared" si="6"/>
        <v>7</v>
      </c>
      <c r="BG93" s="33" t="s">
        <v>1042</v>
      </c>
    </row>
    <row r="94" spans="1:59" ht="126" x14ac:dyDescent="0.15">
      <c r="A94" s="297" t="s">
        <v>1484</v>
      </c>
      <c r="B94" s="158" t="s">
        <v>1485</v>
      </c>
      <c r="C94" s="158" t="s">
        <v>9</v>
      </c>
      <c r="D94" s="146"/>
      <c r="E94" s="146"/>
      <c r="F94" s="158" t="s">
        <v>1486</v>
      </c>
      <c r="G94" s="193" t="s">
        <v>819</v>
      </c>
      <c r="H94" s="146"/>
      <c r="I94" s="146"/>
      <c r="J94" s="146"/>
      <c r="K94" s="146"/>
      <c r="L94" s="171">
        <v>45999</v>
      </c>
      <c r="M94" s="171">
        <v>46013</v>
      </c>
      <c r="N94" s="171">
        <v>46013</v>
      </c>
      <c r="O94" s="33" t="s">
        <v>1487</v>
      </c>
      <c r="P94" s="33" t="s">
        <v>1488</v>
      </c>
      <c r="Q94" s="295">
        <v>46049</v>
      </c>
      <c r="R94" s="146"/>
      <c r="S94" s="152">
        <v>588</v>
      </c>
      <c r="T94" s="182">
        <v>46022</v>
      </c>
      <c r="U94" s="182"/>
      <c r="V94" s="182">
        <v>46022</v>
      </c>
      <c r="W94" s="179"/>
      <c r="X94" s="171" t="s">
        <v>43</v>
      </c>
      <c r="Y94" s="171" t="s">
        <v>43</v>
      </c>
      <c r="Z94" s="183">
        <v>46034</v>
      </c>
      <c r="AA94" s="211">
        <v>46034</v>
      </c>
      <c r="AB94" s="171">
        <f>AA94+7</f>
        <v>46041</v>
      </c>
      <c r="AC94" s="146"/>
      <c r="AD94" s="171">
        <v>46036</v>
      </c>
      <c r="AE94" s="169">
        <v>46036</v>
      </c>
      <c r="AF94" s="171">
        <v>46031</v>
      </c>
      <c r="AG94" s="33" t="s">
        <v>1489</v>
      </c>
      <c r="AH94" s="152" t="s">
        <v>43</v>
      </c>
      <c r="AI94" s="152" t="s">
        <v>43</v>
      </c>
      <c r="AJ94" s="152" t="s">
        <v>43</v>
      </c>
      <c r="AK94" s="171">
        <v>46036</v>
      </c>
      <c r="AL94" s="171">
        <v>46064</v>
      </c>
      <c r="AM94" s="171" t="s">
        <v>1490</v>
      </c>
      <c r="AN94" s="171">
        <v>46064</v>
      </c>
      <c r="AO94" s="169" t="s">
        <v>1491</v>
      </c>
      <c r="AP94" s="152">
        <v>507.47</v>
      </c>
      <c r="AQ94" s="171">
        <v>46064</v>
      </c>
      <c r="AR94" s="171">
        <v>46069</v>
      </c>
      <c r="AS94" s="171" t="s">
        <v>43</v>
      </c>
      <c r="AT94" s="171">
        <v>46084</v>
      </c>
      <c r="AU94" s="171" t="s">
        <v>43</v>
      </c>
      <c r="AV94" s="171" t="s">
        <v>43</v>
      </c>
      <c r="AW94" s="171" t="s">
        <v>43</v>
      </c>
      <c r="AX94" s="171" t="s">
        <v>43</v>
      </c>
      <c r="AY94" s="149" t="s">
        <v>677</v>
      </c>
      <c r="AZ94" s="179"/>
      <c r="BA94" s="214">
        <f>SUM(AA94+7*8)</f>
        <v>46090</v>
      </c>
      <c r="BB94" s="179"/>
      <c r="BC94" s="146"/>
      <c r="BD94" s="169">
        <v>46090</v>
      </c>
      <c r="BE94" s="149" t="s">
        <v>258</v>
      </c>
      <c r="BF94" s="33">
        <f t="shared" si="6"/>
        <v>8</v>
      </c>
      <c r="BG94" s="33" t="s">
        <v>1042</v>
      </c>
    </row>
    <row r="95" spans="1:59" ht="98" x14ac:dyDescent="0.15">
      <c r="A95" s="132" t="s">
        <v>1492</v>
      </c>
      <c r="B95" s="33" t="s">
        <v>1493</v>
      </c>
      <c r="C95" s="33" t="s">
        <v>9</v>
      </c>
      <c r="D95" s="146"/>
      <c r="E95" s="146"/>
      <c r="F95" s="158" t="s">
        <v>930</v>
      </c>
      <c r="G95" s="193" t="s">
        <v>931</v>
      </c>
      <c r="H95" s="146"/>
      <c r="I95" s="146"/>
      <c r="J95" s="146"/>
      <c r="K95" s="146"/>
      <c r="L95" s="171">
        <v>46009</v>
      </c>
      <c r="M95" s="171">
        <v>46009</v>
      </c>
      <c r="N95" s="171">
        <v>46009</v>
      </c>
      <c r="O95" s="33" t="s">
        <v>1494</v>
      </c>
      <c r="P95" s="33" t="s">
        <v>1495</v>
      </c>
      <c r="Q95" s="295">
        <v>46062</v>
      </c>
      <c r="R95" s="146"/>
      <c r="S95" s="152">
        <v>298</v>
      </c>
      <c r="T95" s="182">
        <v>46021</v>
      </c>
      <c r="U95" s="182"/>
      <c r="V95" s="182">
        <v>46021</v>
      </c>
      <c r="W95" s="179"/>
      <c r="X95" s="171" t="s">
        <v>43</v>
      </c>
      <c r="Y95" s="171" t="s">
        <v>43</v>
      </c>
      <c r="Z95" s="183">
        <v>46035</v>
      </c>
      <c r="AA95" s="310">
        <v>46036</v>
      </c>
      <c r="AB95" s="171">
        <f>AA95+7</f>
        <v>46043</v>
      </c>
      <c r="AC95" s="146"/>
      <c r="AD95" s="171">
        <v>46041</v>
      </c>
      <c r="AE95" s="171">
        <v>46041</v>
      </c>
      <c r="AF95" s="171">
        <v>46030</v>
      </c>
      <c r="AG95" s="33" t="s">
        <v>1489</v>
      </c>
      <c r="AH95" s="152" t="s">
        <v>43</v>
      </c>
      <c r="AI95" s="152" t="s">
        <v>43</v>
      </c>
      <c r="AJ95" s="152" t="s">
        <v>43</v>
      </c>
      <c r="AK95" s="171">
        <v>46041</v>
      </c>
      <c r="AL95" s="171">
        <v>46069</v>
      </c>
      <c r="AM95" s="171">
        <v>46043</v>
      </c>
      <c r="AN95" s="171">
        <v>46069</v>
      </c>
      <c r="AO95" s="169" t="s">
        <v>1496</v>
      </c>
      <c r="AP95" s="152">
        <v>507.47</v>
      </c>
      <c r="AQ95" s="171">
        <v>46069</v>
      </c>
      <c r="AR95" s="171">
        <v>46084</v>
      </c>
      <c r="AS95" s="171" t="s">
        <v>43</v>
      </c>
      <c r="AT95" s="171">
        <v>46090</v>
      </c>
      <c r="AU95" s="171" t="s">
        <v>43</v>
      </c>
      <c r="AV95" s="171" t="s">
        <v>43</v>
      </c>
      <c r="AW95" s="171" t="s">
        <v>43</v>
      </c>
      <c r="AX95" s="171" t="s">
        <v>43</v>
      </c>
      <c r="AY95" s="149" t="s">
        <v>677</v>
      </c>
      <c r="AZ95" s="179"/>
      <c r="BA95" s="214">
        <f t="shared" si="5"/>
        <v>46092</v>
      </c>
      <c r="BB95" s="179"/>
      <c r="BC95" s="149" t="s">
        <v>1497</v>
      </c>
      <c r="BD95" s="169">
        <v>46097</v>
      </c>
      <c r="BE95" s="149" t="s">
        <v>258</v>
      </c>
      <c r="BF95" s="33">
        <f t="shared" si="6"/>
        <v>8.7142857142857135</v>
      </c>
      <c r="BG95" s="33" t="s">
        <v>1498</v>
      </c>
    </row>
    <row r="96" spans="1:59" ht="126" x14ac:dyDescent="0.15">
      <c r="A96" s="132" t="s">
        <v>1499</v>
      </c>
      <c r="B96" s="33" t="s">
        <v>1500</v>
      </c>
      <c r="C96" s="33" t="s">
        <v>9</v>
      </c>
      <c r="D96" s="33"/>
      <c r="E96" s="33"/>
      <c r="F96" s="33" t="s">
        <v>1501</v>
      </c>
      <c r="G96" s="193" t="s">
        <v>819</v>
      </c>
      <c r="H96" s="33"/>
      <c r="I96" s="33"/>
      <c r="J96" s="33"/>
      <c r="K96" s="33"/>
      <c r="L96" s="171">
        <v>45940</v>
      </c>
      <c r="M96" s="171">
        <v>46015</v>
      </c>
      <c r="N96" s="171">
        <v>46015</v>
      </c>
      <c r="O96" s="33" t="s">
        <v>1502</v>
      </c>
      <c r="P96" s="33" t="s">
        <v>1503</v>
      </c>
      <c r="Q96" s="295">
        <v>46062</v>
      </c>
      <c r="R96" s="146"/>
      <c r="S96" s="152">
        <v>588</v>
      </c>
      <c r="T96" s="182">
        <v>46027</v>
      </c>
      <c r="U96" s="182"/>
      <c r="V96" s="182">
        <v>46027</v>
      </c>
      <c r="W96" s="179"/>
      <c r="X96" s="171" t="s">
        <v>43</v>
      </c>
      <c r="Y96" s="171" t="s">
        <v>43</v>
      </c>
      <c r="Z96" s="183">
        <v>46035</v>
      </c>
      <c r="AA96" s="211">
        <v>46035</v>
      </c>
      <c r="AB96" s="171">
        <f t="shared" ref="AB96" si="7">AA96+7</f>
        <v>46042</v>
      </c>
      <c r="AC96" s="146"/>
      <c r="AD96" s="171">
        <v>46038</v>
      </c>
      <c r="AE96" s="171">
        <v>46038</v>
      </c>
      <c r="AF96" s="171">
        <v>46080</v>
      </c>
      <c r="AG96" s="270" t="s">
        <v>812</v>
      </c>
      <c r="AH96" s="152">
        <v>6607.14</v>
      </c>
      <c r="AI96" s="152" t="s">
        <v>43</v>
      </c>
      <c r="AJ96" s="146"/>
      <c r="AK96" s="171">
        <v>46038</v>
      </c>
      <c r="AL96" s="171">
        <v>46069</v>
      </c>
      <c r="AM96" s="171">
        <v>46042</v>
      </c>
      <c r="AN96" s="171">
        <v>46069</v>
      </c>
      <c r="AO96" s="169" t="s">
        <v>1504</v>
      </c>
      <c r="AP96" s="152">
        <v>507.47</v>
      </c>
      <c r="AQ96" s="171">
        <v>46069</v>
      </c>
      <c r="AR96" s="169">
        <v>46083</v>
      </c>
      <c r="AS96" s="171" t="s">
        <v>43</v>
      </c>
      <c r="AT96" s="171">
        <v>46090</v>
      </c>
      <c r="AU96" s="169" t="s">
        <v>1505</v>
      </c>
      <c r="AV96" s="171" t="s">
        <v>43</v>
      </c>
      <c r="AW96" s="171" t="s">
        <v>43</v>
      </c>
      <c r="AX96" s="169">
        <v>46084</v>
      </c>
      <c r="AY96" s="149" t="s">
        <v>677</v>
      </c>
      <c r="AZ96" s="179"/>
      <c r="BA96" s="214">
        <f>SUM(AA96+7*8)</f>
        <v>46091</v>
      </c>
      <c r="BB96" s="179"/>
      <c r="BC96" s="149" t="s">
        <v>1497</v>
      </c>
      <c r="BD96" s="169">
        <v>46111</v>
      </c>
      <c r="BE96" s="149" t="s">
        <v>322</v>
      </c>
      <c r="BF96" s="33">
        <f>(BD96-AA96)/7</f>
        <v>10.857142857142858</v>
      </c>
      <c r="BG96" s="33" t="s">
        <v>1506</v>
      </c>
    </row>
    <row r="97" spans="1:59" ht="168" x14ac:dyDescent="0.15">
      <c r="A97" s="297" t="s">
        <v>1507</v>
      </c>
      <c r="B97" s="158" t="s">
        <v>1508</v>
      </c>
      <c r="C97" s="158" t="s">
        <v>9</v>
      </c>
      <c r="D97" s="158"/>
      <c r="E97" s="158"/>
      <c r="F97" s="158" t="s">
        <v>1509</v>
      </c>
      <c r="G97" s="193" t="s">
        <v>819</v>
      </c>
      <c r="H97" s="146"/>
      <c r="I97" s="146"/>
      <c r="J97" s="146"/>
      <c r="K97" s="146"/>
      <c r="L97" s="171">
        <v>45999</v>
      </c>
      <c r="M97" s="171">
        <v>46013</v>
      </c>
      <c r="N97" s="171">
        <v>46013</v>
      </c>
      <c r="O97" s="33" t="s">
        <v>1510</v>
      </c>
      <c r="P97" s="33" t="s">
        <v>1511</v>
      </c>
      <c r="Q97" s="295">
        <v>46080</v>
      </c>
      <c r="R97" s="146"/>
      <c r="S97" s="152">
        <v>588</v>
      </c>
      <c r="T97" s="182">
        <v>46024</v>
      </c>
      <c r="U97" s="182"/>
      <c r="V97" s="182">
        <v>46024</v>
      </c>
      <c r="W97" s="179"/>
      <c r="X97" s="171" t="s">
        <v>43</v>
      </c>
      <c r="Y97" s="171" t="s">
        <v>43</v>
      </c>
      <c r="Z97" s="183">
        <v>46044</v>
      </c>
      <c r="AA97" s="211">
        <v>46044</v>
      </c>
      <c r="AB97" s="171">
        <v>46051</v>
      </c>
      <c r="AC97" s="146"/>
      <c r="AD97" s="171">
        <v>46049</v>
      </c>
      <c r="AE97" s="171">
        <v>46049</v>
      </c>
      <c r="AF97" s="171">
        <v>46030</v>
      </c>
      <c r="AG97" s="270" t="s">
        <v>1512</v>
      </c>
      <c r="AH97" s="152"/>
      <c r="AI97" s="152" t="s">
        <v>43</v>
      </c>
      <c r="AJ97" s="152" t="s">
        <v>43</v>
      </c>
      <c r="AK97" s="171">
        <v>46049</v>
      </c>
      <c r="AL97" s="171">
        <v>46077</v>
      </c>
      <c r="AM97" s="171">
        <v>46050</v>
      </c>
      <c r="AN97" s="171">
        <v>46077</v>
      </c>
      <c r="AO97" s="309" t="s">
        <v>43</v>
      </c>
      <c r="AP97" s="309" t="s">
        <v>43</v>
      </c>
      <c r="AQ97" s="309" t="s">
        <v>43</v>
      </c>
      <c r="AR97" s="171">
        <v>46085</v>
      </c>
      <c r="AS97" s="171" t="s">
        <v>43</v>
      </c>
      <c r="AT97" s="169" t="s">
        <v>1513</v>
      </c>
      <c r="AU97" s="171" t="s">
        <v>43</v>
      </c>
      <c r="AV97" s="171" t="s">
        <v>43</v>
      </c>
      <c r="AW97" s="171" t="s">
        <v>43</v>
      </c>
      <c r="AX97" s="171" t="s">
        <v>43</v>
      </c>
      <c r="AY97" s="149" t="s">
        <v>677</v>
      </c>
      <c r="AZ97" s="179"/>
      <c r="BA97" s="214">
        <f t="shared" si="5"/>
        <v>46100</v>
      </c>
      <c r="BB97" s="179"/>
      <c r="BC97" s="149" t="s">
        <v>1514</v>
      </c>
      <c r="BD97" s="169">
        <v>46121</v>
      </c>
      <c r="BE97" s="146"/>
      <c r="BF97" s="33">
        <f>(BD97-AA97)/7</f>
        <v>11</v>
      </c>
      <c r="BG97" s="33" t="s">
        <v>1515</v>
      </c>
    </row>
    <row r="98" spans="1:59" ht="60.75" customHeight="1" x14ac:dyDescent="0.15">
      <c r="A98" s="11" t="s">
        <v>708</v>
      </c>
      <c r="B98" s="11" t="s">
        <v>1516</v>
      </c>
      <c r="C98" s="11" t="s">
        <v>10</v>
      </c>
      <c r="D98" s="11"/>
      <c r="E98" s="159"/>
      <c r="F98" s="11" t="s">
        <v>1129</v>
      </c>
      <c r="G98" s="11" t="s">
        <v>1517</v>
      </c>
      <c r="H98" s="11" t="s">
        <v>1518</v>
      </c>
      <c r="I98" s="159"/>
      <c r="J98" s="159"/>
      <c r="K98" s="159"/>
      <c r="L98" s="175">
        <v>45373</v>
      </c>
      <c r="M98" s="172" t="s">
        <v>1519</v>
      </c>
      <c r="N98" s="173"/>
      <c r="O98" s="196" t="s">
        <v>1520</v>
      </c>
      <c r="P98" s="160"/>
      <c r="Q98" s="160"/>
      <c r="R98" s="159"/>
      <c r="S98" s="195"/>
      <c r="T98" s="176"/>
      <c r="U98" s="176"/>
      <c r="V98" s="176"/>
      <c r="W98" s="176"/>
      <c r="X98" s="176"/>
      <c r="Y98" s="176"/>
      <c r="Z98" s="176"/>
      <c r="AA98" s="217"/>
      <c r="AB98" s="176"/>
      <c r="AC98" s="159"/>
      <c r="AD98" s="173"/>
      <c r="AE98" s="173"/>
      <c r="AF98" s="176"/>
      <c r="AG98" s="176"/>
      <c r="AH98" s="299"/>
      <c r="AI98" s="159"/>
      <c r="AJ98" s="154"/>
      <c r="AK98" s="176"/>
      <c r="AL98" s="176"/>
      <c r="AM98" s="176"/>
      <c r="AN98" s="176"/>
      <c r="AO98" s="176"/>
      <c r="AP98" s="159"/>
      <c r="AQ98" s="173"/>
      <c r="AR98" s="173"/>
      <c r="AS98" s="176"/>
      <c r="AT98" s="176"/>
      <c r="AU98" s="176"/>
      <c r="AV98" s="176"/>
      <c r="AW98" s="176"/>
      <c r="AX98" s="176"/>
      <c r="AY98" s="159"/>
      <c r="AZ98" s="176"/>
      <c r="BA98" s="176"/>
      <c r="BB98" s="176"/>
      <c r="BC98" s="159"/>
      <c r="BD98" s="176"/>
      <c r="BE98" s="159"/>
      <c r="BF98" s="159"/>
      <c r="BG98" s="159"/>
    </row>
    <row r="99" spans="1:59" ht="70" x14ac:dyDescent="0.15">
      <c r="A99" s="11" t="s">
        <v>708</v>
      </c>
      <c r="B99" s="11" t="s">
        <v>1521</v>
      </c>
      <c r="C99" s="11" t="s">
        <v>9</v>
      </c>
      <c r="D99" s="11"/>
      <c r="E99" s="159"/>
      <c r="F99" s="11" t="s">
        <v>268</v>
      </c>
      <c r="G99" s="157" t="s">
        <v>1522</v>
      </c>
      <c r="H99" s="159"/>
      <c r="I99" s="159"/>
      <c r="J99" s="159"/>
      <c r="K99" s="159"/>
      <c r="L99" s="172">
        <v>45462</v>
      </c>
      <c r="M99" s="172">
        <v>45474</v>
      </c>
      <c r="N99" s="173"/>
      <c r="O99" s="11" t="s">
        <v>1523</v>
      </c>
      <c r="P99" s="159"/>
      <c r="Q99" s="159"/>
      <c r="R99" s="159"/>
      <c r="S99" s="195"/>
      <c r="T99" s="176"/>
      <c r="U99" s="176"/>
      <c r="V99" s="176"/>
      <c r="W99" s="176"/>
      <c r="X99" s="176"/>
      <c r="Y99" s="176"/>
      <c r="Z99" s="176"/>
      <c r="AA99" s="217"/>
      <c r="AB99" s="176"/>
      <c r="AC99" s="159"/>
      <c r="AD99" s="176"/>
      <c r="AE99" s="176"/>
      <c r="AF99" s="176"/>
      <c r="AG99" s="176"/>
      <c r="AH99" s="299"/>
      <c r="AI99" s="159"/>
      <c r="AJ99" s="159"/>
      <c r="AK99" s="176"/>
      <c r="AL99" s="176"/>
      <c r="AM99" s="176"/>
      <c r="AN99" s="176"/>
      <c r="AO99" s="176"/>
      <c r="AP99" s="159"/>
      <c r="AQ99" s="176"/>
      <c r="AR99" s="173"/>
      <c r="AS99" s="176"/>
      <c r="AT99" s="176"/>
      <c r="AU99" s="176"/>
      <c r="AV99" s="176"/>
      <c r="AW99" s="176"/>
      <c r="AX99" s="176"/>
      <c r="AY99" s="159"/>
      <c r="AZ99" s="176"/>
      <c r="BA99" s="176"/>
      <c r="BB99" s="176"/>
      <c r="BC99" s="159"/>
      <c r="BD99" s="176"/>
      <c r="BE99" s="159"/>
      <c r="BF99" s="159"/>
      <c r="BG99" s="159"/>
    </row>
    <row r="100" spans="1:59" s="156" customFormat="1" ht="42" x14ac:dyDescent="0.15">
      <c r="A100" s="11" t="s">
        <v>708</v>
      </c>
      <c r="B100" s="11" t="s">
        <v>1524</v>
      </c>
      <c r="C100" s="11" t="s">
        <v>10</v>
      </c>
      <c r="D100" s="11"/>
      <c r="E100" s="154"/>
      <c r="F100" s="154" t="s">
        <v>1525</v>
      </c>
      <c r="G100" s="157" t="s">
        <v>1526</v>
      </c>
      <c r="H100" s="11" t="s">
        <v>1527</v>
      </c>
      <c r="I100" s="154"/>
      <c r="J100" s="154"/>
      <c r="K100" s="154"/>
      <c r="L100" s="172">
        <v>45489</v>
      </c>
      <c r="M100" s="172">
        <v>45503</v>
      </c>
      <c r="N100" s="173"/>
      <c r="O100" s="11" t="s">
        <v>1528</v>
      </c>
      <c r="P100" s="159"/>
      <c r="Q100" s="155"/>
      <c r="R100" s="154"/>
      <c r="S100" s="195"/>
      <c r="T100" s="173"/>
      <c r="U100" s="173"/>
      <c r="V100" s="173"/>
      <c r="W100" s="173"/>
      <c r="X100" s="173"/>
      <c r="Y100" s="173"/>
      <c r="Z100" s="173"/>
      <c r="AA100" s="216"/>
      <c r="AB100" s="173"/>
      <c r="AC100" s="154"/>
      <c r="AD100" s="173"/>
      <c r="AE100" s="173"/>
      <c r="AF100" s="173"/>
      <c r="AG100" s="173"/>
      <c r="AH100" s="173"/>
      <c r="AI100" s="154"/>
      <c r="AJ100" s="154"/>
      <c r="AK100" s="173"/>
      <c r="AL100" s="173"/>
      <c r="AM100" s="173"/>
      <c r="AN100" s="173"/>
      <c r="AO100" s="173"/>
      <c r="AP100" s="154"/>
      <c r="AQ100" s="173"/>
      <c r="AR100" s="173"/>
      <c r="AS100" s="173"/>
      <c r="AT100" s="173"/>
      <c r="AU100" s="173"/>
      <c r="AV100" s="173"/>
      <c r="AW100" s="173"/>
      <c r="AX100" s="173"/>
      <c r="AY100" s="154"/>
      <c r="AZ100" s="173"/>
      <c r="BA100" s="173"/>
      <c r="BB100" s="173"/>
      <c r="BC100" s="154"/>
      <c r="BD100" s="173"/>
      <c r="BE100" s="154"/>
      <c r="BF100" s="154"/>
      <c r="BG100" s="154"/>
    </row>
    <row r="101" spans="1:59" ht="182" x14ac:dyDescent="0.15">
      <c r="A101" s="11" t="s">
        <v>708</v>
      </c>
      <c r="B101" s="11" t="s">
        <v>1529</v>
      </c>
      <c r="C101" s="154" t="s">
        <v>9</v>
      </c>
      <c r="D101" s="11" t="s">
        <v>1140</v>
      </c>
      <c r="E101" s="159"/>
      <c r="F101" s="11" t="s">
        <v>1530</v>
      </c>
      <c r="G101" s="161" t="s">
        <v>1092</v>
      </c>
      <c r="H101" s="159"/>
      <c r="I101" s="159"/>
      <c r="J101" s="159"/>
      <c r="K101" s="159"/>
      <c r="L101" s="173">
        <v>45649</v>
      </c>
      <c r="M101" s="174">
        <v>45669</v>
      </c>
      <c r="N101" s="173"/>
      <c r="O101" s="201" t="s">
        <v>1531</v>
      </c>
      <c r="P101" s="202"/>
      <c r="Q101" s="202"/>
      <c r="R101" s="202"/>
      <c r="S101" s="195"/>
      <c r="T101" s="176"/>
      <c r="U101" s="176"/>
      <c r="V101" s="176"/>
      <c r="W101" s="176"/>
      <c r="X101" s="176"/>
      <c r="Y101" s="176"/>
      <c r="Z101" s="176"/>
      <c r="AA101" s="217"/>
      <c r="AB101" s="176"/>
      <c r="AC101" s="159"/>
      <c r="AD101" s="176"/>
      <c r="AE101" s="176"/>
      <c r="AF101" s="176"/>
      <c r="AG101" s="176"/>
      <c r="AH101" s="176"/>
      <c r="AI101" s="159"/>
      <c r="AJ101" s="159"/>
      <c r="AK101" s="176"/>
      <c r="AL101" s="176"/>
      <c r="AM101" s="176"/>
      <c r="AN101" s="176"/>
      <c r="AO101" s="176"/>
      <c r="AP101" s="159"/>
      <c r="AQ101" s="176"/>
      <c r="AR101" s="173"/>
      <c r="AS101" s="176"/>
      <c r="AT101" s="176"/>
      <c r="AU101" s="176"/>
      <c r="AV101" s="176"/>
      <c r="AW101" s="176"/>
      <c r="AX101" s="176"/>
      <c r="AY101" s="159"/>
      <c r="AZ101" s="176"/>
      <c r="BA101" s="176"/>
      <c r="BB101" s="176"/>
      <c r="BC101" s="159"/>
      <c r="BD101" s="176"/>
      <c r="BE101" s="159"/>
      <c r="BF101" s="159"/>
      <c r="BG101" s="159"/>
    </row>
    <row r="102" spans="1:59" ht="140" x14ac:dyDescent="0.15">
      <c r="A102" s="11" t="s">
        <v>708</v>
      </c>
      <c r="B102" s="11" t="s">
        <v>1532</v>
      </c>
      <c r="C102" s="154" t="s">
        <v>9</v>
      </c>
      <c r="D102" s="159"/>
      <c r="E102" s="159"/>
      <c r="F102" s="154" t="s">
        <v>1533</v>
      </c>
      <c r="G102" s="161" t="s">
        <v>1271</v>
      </c>
      <c r="H102" s="11" t="s">
        <v>1534</v>
      </c>
      <c r="I102" s="159"/>
      <c r="J102" s="159"/>
      <c r="K102" s="159"/>
      <c r="L102" s="174">
        <v>45685</v>
      </c>
      <c r="M102" s="174">
        <v>45699</v>
      </c>
      <c r="N102" s="173"/>
      <c r="O102" s="201" t="s">
        <v>1535</v>
      </c>
      <c r="P102" s="202"/>
      <c r="Q102" s="202"/>
      <c r="R102" s="202"/>
      <c r="S102" s="195"/>
      <c r="T102" s="176"/>
      <c r="U102" s="176"/>
      <c r="V102" s="176"/>
      <c r="W102" s="176"/>
      <c r="X102" s="176"/>
      <c r="Y102" s="176"/>
      <c r="Z102" s="176"/>
      <c r="AA102" s="217"/>
      <c r="AB102" s="176"/>
      <c r="AC102" s="159"/>
      <c r="AD102" s="176"/>
      <c r="AE102" s="176"/>
      <c r="AF102" s="176"/>
      <c r="AG102" s="176"/>
      <c r="AH102" s="176"/>
      <c r="AI102" s="159"/>
      <c r="AJ102" s="159"/>
      <c r="AK102" s="176"/>
      <c r="AL102" s="176"/>
      <c r="AM102" s="176"/>
      <c r="AN102" s="176"/>
      <c r="AO102" s="176"/>
      <c r="AP102" s="159"/>
      <c r="AQ102" s="176"/>
      <c r="AR102" s="173"/>
      <c r="AS102" s="176"/>
      <c r="AT102" s="176"/>
      <c r="AU102" s="176"/>
      <c r="AV102" s="176"/>
      <c r="AW102" s="176"/>
      <c r="AX102" s="176"/>
      <c r="AY102" s="159"/>
      <c r="AZ102" s="176"/>
      <c r="BA102" s="176"/>
      <c r="BB102" s="176"/>
      <c r="BC102" s="159"/>
      <c r="BD102" s="176"/>
      <c r="BE102" s="159"/>
      <c r="BF102" s="159"/>
      <c r="BG102" s="159"/>
    </row>
    <row r="103" spans="1:59" ht="56" x14ac:dyDescent="0.15">
      <c r="A103" s="11" t="s">
        <v>708</v>
      </c>
      <c r="B103" s="11" t="s">
        <v>1536</v>
      </c>
      <c r="C103" s="154" t="s">
        <v>9</v>
      </c>
      <c r="D103" s="159"/>
      <c r="E103" s="159"/>
      <c r="F103" s="154" t="s">
        <v>1537</v>
      </c>
      <c r="G103" s="161" t="s">
        <v>1538</v>
      </c>
      <c r="H103" s="154" t="s">
        <v>345</v>
      </c>
      <c r="I103" s="159"/>
      <c r="J103" s="159"/>
      <c r="K103" s="159"/>
      <c r="L103" s="173">
        <v>45744</v>
      </c>
      <c r="M103" s="173">
        <v>45758</v>
      </c>
      <c r="N103" s="176"/>
      <c r="O103" s="11" t="s">
        <v>1539</v>
      </c>
      <c r="P103" s="159"/>
      <c r="Q103" s="159"/>
      <c r="R103" s="159"/>
      <c r="S103" s="195"/>
      <c r="T103" s="176"/>
      <c r="U103" s="176"/>
      <c r="V103" s="176"/>
      <c r="W103" s="176"/>
      <c r="X103" s="176"/>
      <c r="Y103" s="176"/>
      <c r="Z103" s="176"/>
      <c r="AA103" s="217"/>
      <c r="AB103" s="176"/>
      <c r="AC103" s="159"/>
      <c r="AD103" s="176"/>
      <c r="AE103" s="176"/>
      <c r="AF103" s="176"/>
      <c r="AG103" s="176"/>
      <c r="AH103" s="176"/>
      <c r="AI103" s="159"/>
      <c r="AJ103" s="159"/>
      <c r="AK103" s="176"/>
      <c r="AL103" s="176"/>
      <c r="AM103" s="176"/>
      <c r="AN103" s="176"/>
      <c r="AO103" s="176"/>
      <c r="AP103" s="159"/>
      <c r="AQ103" s="176"/>
      <c r="AR103" s="173"/>
      <c r="AS103" s="176"/>
      <c r="AT103" s="176"/>
      <c r="AU103" s="176"/>
      <c r="AV103" s="176"/>
      <c r="AW103" s="176"/>
      <c r="AX103" s="176"/>
      <c r="AY103" s="159"/>
      <c r="AZ103" s="176"/>
      <c r="BA103" s="176"/>
      <c r="BB103" s="176"/>
      <c r="BC103" s="159"/>
      <c r="BD103" s="176"/>
      <c r="BE103" s="159"/>
      <c r="BF103" s="159"/>
      <c r="BG103" s="159"/>
    </row>
    <row r="104" spans="1:59" ht="293" x14ac:dyDescent="0.15">
      <c r="A104" s="11" t="s">
        <v>708</v>
      </c>
      <c r="B104" s="11" t="s">
        <v>1540</v>
      </c>
      <c r="C104" s="11" t="s">
        <v>9</v>
      </c>
      <c r="D104" s="11" t="s">
        <v>1541</v>
      </c>
      <c r="E104" s="11"/>
      <c r="F104" s="11" t="s">
        <v>1542</v>
      </c>
      <c r="G104" s="161" t="s">
        <v>1543</v>
      </c>
      <c r="H104" s="11"/>
      <c r="I104" s="11"/>
      <c r="J104" s="11"/>
      <c r="K104" s="11"/>
      <c r="L104" s="175">
        <v>45771</v>
      </c>
      <c r="M104" s="172">
        <v>45782</v>
      </c>
      <c r="N104" s="175"/>
      <c r="O104" s="11" t="s">
        <v>1544</v>
      </c>
      <c r="P104" s="159"/>
      <c r="Q104" s="11"/>
      <c r="R104" s="11"/>
      <c r="S104" s="195"/>
      <c r="T104" s="176"/>
      <c r="U104" s="176"/>
      <c r="V104" s="176"/>
      <c r="W104" s="176"/>
      <c r="X104" s="176"/>
      <c r="Y104" s="176"/>
      <c r="Z104" s="176"/>
      <c r="AA104" s="217"/>
      <c r="AB104" s="176"/>
      <c r="AC104" s="159"/>
      <c r="AD104" s="176"/>
      <c r="AE104" s="176"/>
      <c r="AF104" s="176"/>
      <c r="AG104" s="176"/>
      <c r="AH104" s="176"/>
      <c r="AI104" s="159"/>
      <c r="AJ104" s="159"/>
      <c r="AK104" s="176"/>
      <c r="AL104" s="176"/>
      <c r="AM104" s="176"/>
      <c r="AN104" s="176"/>
      <c r="AO104" s="176"/>
      <c r="AP104" s="159"/>
      <c r="AQ104" s="176"/>
      <c r="AR104" s="176"/>
      <c r="AS104" s="176"/>
      <c r="AT104" s="176"/>
      <c r="AU104" s="176"/>
      <c r="AV104" s="176"/>
      <c r="AW104" s="176"/>
      <c r="AX104" s="176"/>
      <c r="AY104" s="159"/>
      <c r="AZ104" s="176"/>
      <c r="BA104" s="176"/>
      <c r="BB104" s="176"/>
      <c r="BC104" s="159"/>
      <c r="BD104" s="176"/>
      <c r="BE104" s="159"/>
      <c r="BF104" s="159"/>
      <c r="BG104" s="159"/>
    </row>
    <row r="105" spans="1:59" ht="42" x14ac:dyDescent="0.15">
      <c r="A105" s="11" t="s">
        <v>708</v>
      </c>
      <c r="B105" s="11" t="s">
        <v>1545</v>
      </c>
      <c r="C105" s="11" t="s">
        <v>9</v>
      </c>
      <c r="D105" s="11"/>
      <c r="E105" s="11"/>
      <c r="F105" s="11"/>
      <c r="G105" s="161" t="s">
        <v>1546</v>
      </c>
      <c r="H105" s="159"/>
      <c r="I105" s="159"/>
      <c r="J105" s="159"/>
      <c r="K105" s="159"/>
      <c r="L105" s="175">
        <v>45797</v>
      </c>
      <c r="M105" s="259"/>
      <c r="N105" s="176"/>
      <c r="O105" s="11" t="s">
        <v>1547</v>
      </c>
      <c r="P105" s="159"/>
      <c r="Q105" s="159"/>
      <c r="R105" s="159"/>
      <c r="S105" s="195"/>
      <c r="T105" s="176"/>
      <c r="U105" s="176"/>
      <c r="V105" s="176"/>
      <c r="W105" s="176"/>
      <c r="X105" s="176"/>
      <c r="Y105" s="176"/>
      <c r="Z105" s="176"/>
      <c r="AA105" s="217"/>
      <c r="AB105" s="176"/>
      <c r="AC105" s="159"/>
      <c r="AD105" s="176"/>
      <c r="AE105" s="176"/>
      <c r="AF105" s="176"/>
      <c r="AG105" s="176"/>
      <c r="AH105" s="176"/>
      <c r="AI105" s="159"/>
      <c r="AJ105" s="159"/>
      <c r="AK105" s="176"/>
      <c r="AL105" s="176"/>
      <c r="AM105" s="176"/>
      <c r="AN105" s="176"/>
      <c r="AO105" s="176"/>
      <c r="AP105" s="159"/>
      <c r="AQ105" s="176"/>
      <c r="AR105" s="176"/>
      <c r="AS105" s="176"/>
      <c r="AT105" s="176"/>
      <c r="AU105" s="176"/>
      <c r="AV105" s="176"/>
      <c r="AW105" s="176"/>
      <c r="AX105" s="176"/>
      <c r="AY105" s="159"/>
      <c r="AZ105" s="176"/>
      <c r="BA105" s="176"/>
      <c r="BB105" s="176"/>
      <c r="BC105" s="159"/>
      <c r="BD105" s="176"/>
      <c r="BE105" s="159"/>
      <c r="BF105" s="159"/>
      <c r="BG105" s="159"/>
    </row>
    <row r="106" spans="1:59" ht="112" x14ac:dyDescent="0.15">
      <c r="A106" s="11" t="s">
        <v>708</v>
      </c>
      <c r="B106" s="11" t="s">
        <v>1548</v>
      </c>
      <c r="C106" s="11" t="s">
        <v>10</v>
      </c>
      <c r="D106" s="11" t="s">
        <v>1549</v>
      </c>
      <c r="E106" s="11"/>
      <c r="F106" s="11" t="s">
        <v>1550</v>
      </c>
      <c r="G106" s="161" t="s">
        <v>1551</v>
      </c>
      <c r="H106" s="175" t="s">
        <v>121</v>
      </c>
      <c r="I106" s="175"/>
      <c r="J106" s="175"/>
      <c r="K106" s="175"/>
      <c r="L106" s="175">
        <v>45807</v>
      </c>
      <c r="M106" s="175">
        <v>45818</v>
      </c>
      <c r="N106" s="175"/>
      <c r="O106" s="11" t="s">
        <v>1552</v>
      </c>
      <c r="P106" s="159"/>
      <c r="Q106" s="159"/>
      <c r="R106" s="159"/>
      <c r="S106" s="195"/>
      <c r="T106" s="176"/>
      <c r="U106" s="176"/>
      <c r="V106" s="176"/>
      <c r="W106" s="176"/>
      <c r="X106" s="176"/>
      <c r="Y106" s="176"/>
      <c r="Z106" s="176"/>
      <c r="AA106" s="217"/>
      <c r="AB106" s="176"/>
      <c r="AC106" s="159"/>
      <c r="AD106" s="176"/>
      <c r="AE106" s="176"/>
      <c r="AF106" s="176"/>
      <c r="AG106" s="176"/>
      <c r="AH106" s="176"/>
      <c r="AI106" s="159"/>
      <c r="AJ106" s="159"/>
      <c r="AK106" s="176"/>
      <c r="AL106" s="176"/>
      <c r="AM106" s="176"/>
      <c r="AN106" s="176"/>
      <c r="AO106" s="176"/>
      <c r="AP106" s="159"/>
      <c r="AQ106" s="176"/>
      <c r="AR106" s="176"/>
      <c r="AS106" s="176"/>
      <c r="AT106" s="176"/>
      <c r="AU106" s="176"/>
      <c r="AV106" s="176"/>
      <c r="AW106" s="176"/>
      <c r="AX106" s="176"/>
      <c r="AY106" s="159"/>
      <c r="AZ106" s="176"/>
      <c r="BA106" s="176"/>
      <c r="BB106" s="176"/>
      <c r="BC106" s="159"/>
      <c r="BD106" s="176"/>
      <c r="BE106" s="159"/>
      <c r="BF106" s="159"/>
      <c r="BG106" s="159"/>
    </row>
    <row r="107" spans="1:59" ht="126" x14ac:dyDescent="0.15">
      <c r="A107" s="11" t="s">
        <v>708</v>
      </c>
      <c r="B107" s="11" t="s">
        <v>1553</v>
      </c>
      <c r="C107" s="11" t="s">
        <v>9</v>
      </c>
      <c r="D107" s="11" t="s">
        <v>1554</v>
      </c>
      <c r="E107" s="11"/>
      <c r="F107" s="11" t="s">
        <v>1555</v>
      </c>
      <c r="G107" s="161" t="s">
        <v>903</v>
      </c>
      <c r="H107" s="11"/>
      <c r="I107" s="11"/>
      <c r="J107" s="11"/>
      <c r="K107" s="11"/>
      <c r="L107" s="248">
        <v>45838</v>
      </c>
      <c r="M107" s="248">
        <v>45852</v>
      </c>
      <c r="N107" s="11"/>
      <c r="O107" s="11" t="s">
        <v>1556</v>
      </c>
      <c r="P107" s="159"/>
      <c r="Q107" s="11"/>
      <c r="R107" s="11"/>
      <c r="S107" s="11"/>
      <c r="T107" s="176"/>
      <c r="U107" s="176"/>
      <c r="V107" s="176"/>
      <c r="W107" s="176"/>
      <c r="X107" s="176"/>
      <c r="Y107" s="176"/>
      <c r="Z107" s="176"/>
      <c r="AA107" s="217"/>
      <c r="AB107" s="176"/>
      <c r="AC107" s="159"/>
      <c r="AD107" s="176"/>
      <c r="AE107" s="176"/>
      <c r="AF107" s="176"/>
      <c r="AG107" s="176"/>
      <c r="AH107" s="176"/>
      <c r="AI107" s="159"/>
      <c r="AJ107" s="159"/>
      <c r="AK107" s="176"/>
      <c r="AL107" s="176"/>
      <c r="AM107" s="176"/>
      <c r="AN107" s="176"/>
      <c r="AO107" s="176"/>
      <c r="AP107" s="159"/>
      <c r="AQ107" s="176"/>
      <c r="AR107" s="176"/>
      <c r="AS107" s="176"/>
      <c r="AT107" s="176"/>
      <c r="AU107" s="176"/>
      <c r="AV107" s="176"/>
      <c r="AW107" s="176"/>
      <c r="AX107" s="176"/>
      <c r="AY107" s="159"/>
      <c r="AZ107" s="176"/>
      <c r="BA107" s="176"/>
      <c r="BB107" s="176"/>
      <c r="BC107" s="159"/>
      <c r="BD107" s="176"/>
      <c r="BE107" s="159"/>
      <c r="BF107" s="159"/>
      <c r="BG107" s="159"/>
    </row>
    <row r="108" spans="1:59" ht="42" x14ac:dyDescent="0.15">
      <c r="A108" s="294" t="s">
        <v>708</v>
      </c>
      <c r="B108" s="294" t="s">
        <v>1557</v>
      </c>
      <c r="C108" s="294" t="s">
        <v>9</v>
      </c>
      <c r="D108" s="159"/>
      <c r="E108" s="159"/>
      <c r="F108" s="11" t="s">
        <v>1558</v>
      </c>
      <c r="G108" s="161" t="s">
        <v>1559</v>
      </c>
      <c r="H108" s="159"/>
      <c r="I108" s="159"/>
      <c r="J108" s="159"/>
      <c r="K108" s="159"/>
      <c r="L108" s="173">
        <v>45853</v>
      </c>
      <c r="M108" s="173">
        <v>45872</v>
      </c>
      <c r="N108" s="11"/>
      <c r="O108" s="11" t="s">
        <v>1560</v>
      </c>
      <c r="P108" s="159"/>
      <c r="Q108" s="159"/>
      <c r="R108" s="159"/>
      <c r="S108" s="154"/>
      <c r="T108" s="176"/>
      <c r="U108" s="176"/>
      <c r="V108" s="176"/>
      <c r="W108" s="176"/>
      <c r="X108" s="176"/>
      <c r="Y108" s="176"/>
      <c r="Z108" s="176"/>
      <c r="AA108" s="217"/>
      <c r="AB108" s="176"/>
      <c r="AC108" s="159"/>
      <c r="AD108" s="176"/>
      <c r="AE108" s="176"/>
      <c r="AF108" s="176"/>
      <c r="AG108" s="176"/>
      <c r="AH108" s="176"/>
      <c r="AI108" s="159"/>
      <c r="AJ108" s="159"/>
      <c r="AK108" s="176"/>
      <c r="AL108" s="176"/>
      <c r="AM108" s="176"/>
      <c r="AN108" s="176"/>
      <c r="AO108" s="176"/>
      <c r="AP108" s="159"/>
      <c r="AQ108" s="176"/>
      <c r="AR108" s="176"/>
      <c r="AS108" s="176"/>
      <c r="AT108" s="176"/>
      <c r="AU108" s="176"/>
      <c r="AV108" s="176"/>
      <c r="AW108" s="176"/>
      <c r="AX108" s="176"/>
      <c r="AY108" s="159"/>
      <c r="AZ108" s="176"/>
      <c r="BA108" s="176"/>
      <c r="BB108" s="176"/>
      <c r="BC108" s="159"/>
      <c r="BD108" s="176"/>
      <c r="BE108" s="159"/>
      <c r="BF108" s="159"/>
      <c r="BG108" s="159"/>
    </row>
    <row r="109" spans="1:59" ht="126" x14ac:dyDescent="0.15">
      <c r="A109" s="294" t="s">
        <v>708</v>
      </c>
      <c r="B109" s="294" t="s">
        <v>1561</v>
      </c>
      <c r="C109" s="294" t="s">
        <v>9</v>
      </c>
      <c r="D109" s="159"/>
      <c r="E109" s="159"/>
      <c r="F109" s="11" t="s">
        <v>941</v>
      </c>
      <c r="G109" s="161" t="s">
        <v>1316</v>
      </c>
      <c r="H109" s="159"/>
      <c r="I109" s="159"/>
      <c r="J109" s="159"/>
      <c r="K109" s="159"/>
      <c r="L109" s="173">
        <v>45870</v>
      </c>
      <c r="M109" s="173">
        <v>45887</v>
      </c>
      <c r="N109" s="176"/>
      <c r="O109" s="11" t="s">
        <v>1562</v>
      </c>
      <c r="P109" s="159"/>
      <c r="Q109" s="159"/>
      <c r="R109" s="159"/>
      <c r="S109" s="154"/>
      <c r="T109" s="176"/>
      <c r="U109" s="176"/>
      <c r="V109" s="176"/>
      <c r="W109" s="176"/>
      <c r="X109" s="176"/>
      <c r="Y109" s="176"/>
      <c r="Z109" s="176"/>
      <c r="AA109" s="217"/>
      <c r="AB109" s="176"/>
      <c r="AC109" s="159"/>
      <c r="AD109" s="176"/>
      <c r="AE109" s="176"/>
      <c r="AF109" s="176"/>
      <c r="AG109" s="176"/>
      <c r="AH109" s="176"/>
      <c r="AI109" s="159"/>
      <c r="AJ109" s="159"/>
      <c r="AK109" s="176"/>
      <c r="AL109" s="176"/>
      <c r="AM109" s="176"/>
      <c r="AN109" s="176"/>
      <c r="AO109" s="176"/>
      <c r="AP109" s="159"/>
      <c r="AQ109" s="176"/>
      <c r="AR109" s="176"/>
      <c r="AS109" s="176"/>
      <c r="AT109" s="176"/>
      <c r="AU109" s="176"/>
      <c r="AV109" s="176"/>
      <c r="AW109" s="176"/>
      <c r="AX109" s="176"/>
      <c r="AY109" s="159"/>
      <c r="AZ109" s="176"/>
      <c r="BA109" s="176"/>
      <c r="BB109" s="176"/>
      <c r="BC109" s="159"/>
      <c r="BD109" s="176"/>
      <c r="BE109" s="159"/>
      <c r="BF109" s="159"/>
      <c r="BG109" s="159"/>
    </row>
    <row r="110" spans="1:59" ht="266" x14ac:dyDescent="0.15">
      <c r="A110" s="294" t="s">
        <v>708</v>
      </c>
      <c r="B110" s="294" t="s">
        <v>1563</v>
      </c>
      <c r="C110" s="294" t="s">
        <v>9</v>
      </c>
      <c r="D110" s="159"/>
      <c r="E110" s="159"/>
      <c r="F110" s="294" t="s">
        <v>855</v>
      </c>
      <c r="G110" s="161" t="s">
        <v>1063</v>
      </c>
      <c r="H110" s="159"/>
      <c r="I110" s="159"/>
      <c r="J110" s="159"/>
      <c r="K110" s="159"/>
      <c r="L110" s="173">
        <v>45959</v>
      </c>
      <c r="M110" s="173">
        <v>45962</v>
      </c>
      <c r="N110" s="176"/>
      <c r="O110" s="11" t="s">
        <v>1564</v>
      </c>
      <c r="P110" s="159"/>
      <c r="Q110" s="159"/>
      <c r="R110" s="159"/>
      <c r="S110" s="154"/>
      <c r="T110" s="176"/>
      <c r="U110" s="176"/>
      <c r="V110" s="176"/>
      <c r="W110" s="176"/>
      <c r="X110" s="176"/>
      <c r="Y110" s="176"/>
      <c r="Z110" s="176"/>
      <c r="AA110" s="217"/>
      <c r="AB110" s="176"/>
      <c r="AC110" s="159"/>
      <c r="AD110" s="176"/>
      <c r="AE110" s="176"/>
      <c r="AF110" s="176"/>
      <c r="AG110" s="176"/>
      <c r="AH110" s="176"/>
      <c r="AI110" s="159"/>
      <c r="AJ110" s="159"/>
      <c r="AK110" s="176"/>
      <c r="AL110" s="176"/>
      <c r="AM110" s="176"/>
      <c r="AN110" s="176"/>
      <c r="AO110" s="176"/>
      <c r="AP110" s="159"/>
      <c r="AQ110" s="176"/>
      <c r="AR110" s="176"/>
      <c r="AS110" s="176"/>
      <c r="AT110" s="176"/>
      <c r="AU110" s="176"/>
      <c r="AV110" s="176"/>
      <c r="AW110" s="176"/>
      <c r="AX110" s="176"/>
      <c r="AY110" s="159"/>
      <c r="AZ110" s="176"/>
      <c r="BA110" s="176"/>
      <c r="BB110" s="176"/>
      <c r="BC110" s="159"/>
      <c r="BD110" s="176"/>
      <c r="BE110" s="159"/>
      <c r="BF110" s="159"/>
      <c r="BG110" s="159"/>
    </row>
    <row r="111" spans="1:59" ht="126" x14ac:dyDescent="0.15">
      <c r="A111" s="294" t="s">
        <v>708</v>
      </c>
      <c r="B111" s="294" t="s">
        <v>1286</v>
      </c>
      <c r="C111" s="294" t="s">
        <v>9</v>
      </c>
      <c r="D111" s="294"/>
      <c r="E111" s="294"/>
      <c r="F111" s="294" t="s">
        <v>1287</v>
      </c>
      <c r="G111" s="161" t="s">
        <v>828</v>
      </c>
      <c r="H111" s="159"/>
      <c r="I111" s="159"/>
      <c r="J111" s="159"/>
      <c r="K111" s="159"/>
      <c r="L111" s="173">
        <v>45979</v>
      </c>
      <c r="M111" s="173">
        <v>45982</v>
      </c>
      <c r="N111" s="176"/>
      <c r="O111" s="11" t="s">
        <v>1288</v>
      </c>
      <c r="P111" s="159"/>
      <c r="Q111" s="159"/>
      <c r="R111" s="159"/>
      <c r="S111" s="154"/>
      <c r="T111" s="176"/>
      <c r="U111" s="176"/>
      <c r="V111" s="176"/>
      <c r="W111" s="176"/>
      <c r="X111" s="176"/>
      <c r="Y111" s="176"/>
      <c r="Z111" s="176"/>
      <c r="AA111" s="217"/>
      <c r="AB111" s="176"/>
      <c r="AC111" s="159"/>
      <c r="AD111" s="176"/>
      <c r="AE111" s="176"/>
      <c r="AF111" s="176"/>
      <c r="AG111" s="176"/>
      <c r="AH111" s="176"/>
      <c r="AI111" s="159"/>
      <c r="AJ111" s="159"/>
      <c r="AK111" s="176"/>
      <c r="AL111" s="176"/>
      <c r="AM111" s="176"/>
      <c r="AN111" s="176"/>
      <c r="AO111" s="176"/>
      <c r="AP111" s="159"/>
      <c r="AQ111" s="176"/>
      <c r="AR111" s="176"/>
      <c r="AS111" s="176"/>
      <c r="AT111" s="176"/>
      <c r="AU111" s="176"/>
      <c r="AV111" s="176"/>
      <c r="AW111" s="176"/>
      <c r="AX111" s="176"/>
      <c r="AY111" s="159"/>
      <c r="AZ111" s="176"/>
      <c r="BA111" s="176"/>
      <c r="BB111" s="176"/>
      <c r="BC111" s="159"/>
      <c r="BD111" s="176"/>
      <c r="BE111" s="159"/>
      <c r="BF111" s="159"/>
      <c r="BG111" s="159"/>
    </row>
    <row r="112" spans="1:59" ht="42" x14ac:dyDescent="0.15">
      <c r="A112" s="294" t="s">
        <v>708</v>
      </c>
      <c r="B112" s="294" t="s">
        <v>1565</v>
      </c>
      <c r="C112" s="294" t="s">
        <v>9</v>
      </c>
      <c r="D112" s="159"/>
      <c r="E112" s="159"/>
      <c r="F112" s="294" t="s">
        <v>1566</v>
      </c>
      <c r="G112" s="161" t="s">
        <v>819</v>
      </c>
      <c r="H112" s="159"/>
      <c r="I112" s="159"/>
      <c r="J112" s="159"/>
      <c r="K112" s="159"/>
      <c r="L112" s="173">
        <v>45662</v>
      </c>
      <c r="M112" s="173">
        <v>46010</v>
      </c>
      <c r="N112" s="176"/>
      <c r="O112" s="11" t="s">
        <v>1567</v>
      </c>
      <c r="P112" s="159"/>
      <c r="Q112" s="159"/>
      <c r="R112" s="159"/>
      <c r="S112" s="154"/>
      <c r="T112" s="176"/>
      <c r="U112" s="176"/>
      <c r="V112" s="176"/>
      <c r="W112" s="176"/>
      <c r="X112" s="176"/>
      <c r="Y112" s="176"/>
      <c r="Z112" s="176"/>
      <c r="AA112" s="217"/>
      <c r="AB112" s="176"/>
      <c r="AC112" s="159"/>
      <c r="AD112" s="176"/>
      <c r="AE112" s="176"/>
      <c r="AF112" s="176"/>
      <c r="AG112" s="176"/>
      <c r="AH112" s="176"/>
      <c r="AI112" s="159"/>
      <c r="AJ112" s="159"/>
      <c r="AK112" s="176"/>
      <c r="AL112" s="176"/>
      <c r="AM112" s="176"/>
      <c r="AN112" s="176"/>
      <c r="AO112" s="176"/>
      <c r="AP112" s="159"/>
      <c r="AQ112" s="176"/>
      <c r="AR112" s="176"/>
      <c r="AS112" s="176"/>
      <c r="AT112" s="176"/>
      <c r="AU112" s="176"/>
      <c r="AV112" s="176"/>
      <c r="AW112" s="176"/>
      <c r="AX112" s="176"/>
      <c r="AY112" s="159"/>
      <c r="AZ112" s="176"/>
      <c r="BA112" s="176"/>
      <c r="BB112" s="176"/>
      <c r="BC112" s="159"/>
      <c r="BD112" s="176"/>
      <c r="BE112" s="159"/>
      <c r="BF112" s="159"/>
      <c r="BG112" s="159"/>
    </row>
    <row r="113" spans="1:59" ht="332" x14ac:dyDescent="0.15">
      <c r="A113" s="294" t="s">
        <v>708</v>
      </c>
      <c r="B113" s="294" t="s">
        <v>1568</v>
      </c>
      <c r="C113" s="294" t="s">
        <v>9</v>
      </c>
      <c r="D113" s="294"/>
      <c r="E113" s="159"/>
      <c r="F113" s="294" t="s">
        <v>1569</v>
      </c>
      <c r="G113" s="161" t="s">
        <v>1570</v>
      </c>
      <c r="H113" s="159"/>
      <c r="I113" s="159"/>
      <c r="J113" s="159"/>
      <c r="K113" s="159"/>
      <c r="L113" s="173">
        <v>46000</v>
      </c>
      <c r="M113" s="173">
        <v>46015</v>
      </c>
      <c r="N113" s="176"/>
      <c r="O113" s="11" t="s">
        <v>1571</v>
      </c>
      <c r="P113" s="159"/>
      <c r="Q113" s="159"/>
      <c r="R113" s="159"/>
      <c r="S113" s="154"/>
      <c r="T113" s="176"/>
      <c r="U113" s="176"/>
      <c r="V113" s="176"/>
      <c r="W113" s="176"/>
      <c r="X113" s="176"/>
      <c r="Y113" s="176"/>
      <c r="Z113" s="176"/>
      <c r="AA113" s="217"/>
      <c r="AB113" s="176"/>
      <c r="AC113" s="159"/>
      <c r="AD113" s="176"/>
      <c r="AE113" s="176"/>
      <c r="AF113" s="176"/>
      <c r="AG113" s="176"/>
      <c r="AH113" s="176"/>
      <c r="AI113" s="159"/>
      <c r="AJ113" s="159"/>
      <c r="AK113" s="176"/>
      <c r="AL113" s="176"/>
      <c r="AM113" s="176"/>
      <c r="AN113" s="176"/>
      <c r="AO113" s="176"/>
      <c r="AP113" s="159"/>
      <c r="AQ113" s="176"/>
      <c r="AR113" s="176"/>
      <c r="AS113" s="176"/>
      <c r="AT113" s="176"/>
      <c r="AU113" s="176"/>
      <c r="AV113" s="176"/>
      <c r="AW113" s="176"/>
      <c r="AX113" s="176"/>
      <c r="AY113" s="159"/>
      <c r="AZ113" s="176"/>
      <c r="BA113" s="176"/>
      <c r="BB113" s="176"/>
      <c r="BC113" s="159"/>
      <c r="BD113" s="176"/>
      <c r="BE113" s="159"/>
      <c r="BF113" s="159"/>
      <c r="BG113" s="159"/>
    </row>
  </sheetData>
  <autoFilter ref="C1:C113" xr:uid="{52742801-4302-4463-96B1-CA30DC567E71}"/>
  <hyperlinks>
    <hyperlink ref="G7" r:id="rId1" xr:uid="{D341FE6B-4D6C-4CDF-8130-BD0A8BC9CF17}"/>
    <hyperlink ref="G28" r:id="rId2" xr:uid="{1CE970BC-C369-4D7B-AF9F-7B504995F4DF}"/>
    <hyperlink ref="G16" r:id="rId3" xr:uid="{6DD8D87D-1F10-4E1D-8430-DBD1276EE4A8}"/>
    <hyperlink ref="G14" r:id="rId4" xr:uid="{051FDDC8-95B7-42B3-B67F-379D2D7F9E25}"/>
    <hyperlink ref="G9" r:id="rId5" xr:uid="{CE2C8CBA-8B42-4E5B-8776-0D367262BE43}"/>
    <hyperlink ref="G10" r:id="rId6" xr:uid="{71257BCD-202F-4076-81C0-EEFBFC80DD38}"/>
    <hyperlink ref="G99" r:id="rId7" xr:uid="{E81DE170-8EF1-4008-AC81-F16D50D9E794}"/>
    <hyperlink ref="G12" r:id="rId8" xr:uid="{4EADB3D3-D92F-4DAB-AEBD-FFA82A45AE86}"/>
    <hyperlink ref="G15" r:id="rId9" xr:uid="{8A3D5C79-CC42-4CE2-83D7-366B1DC96122}"/>
    <hyperlink ref="G100" r:id="rId10" xr:uid="{C8279073-A42F-42C1-A774-64A84E463D72}"/>
    <hyperlink ref="G26" r:id="rId11" xr:uid="{90251487-0975-4E76-B36B-5D3894666CCD}"/>
    <hyperlink ref="G24" r:id="rId12" xr:uid="{189F9982-5660-4085-8789-7E4AFB3013BF}"/>
    <hyperlink ref="G19" r:id="rId13" xr:uid="{DC3C4C3C-A676-415F-BE3D-E93751A295AF}"/>
    <hyperlink ref="G18" r:id="rId14" xr:uid="{A632F67B-210F-443F-980E-FEAE055699CB}"/>
    <hyperlink ref="G25" r:id="rId15" xr:uid="{E6B306F3-803C-4FEC-9C6F-5B279CBBCB99}"/>
    <hyperlink ref="G20" r:id="rId16" xr:uid="{927CB59E-57DC-4FFE-B384-1F6BD032A49D}"/>
    <hyperlink ref="G17" r:id="rId17" xr:uid="{38476F9F-6248-4597-98B5-7A5C530AEFEE}"/>
    <hyperlink ref="G21" r:id="rId18" xr:uid="{BD5392F1-F25A-45AD-B085-5E6B51608F72}"/>
    <hyperlink ref="G22" r:id="rId19" xr:uid="{7BDC6632-B23E-482A-80B2-43FC453E4F89}"/>
    <hyperlink ref="G31" r:id="rId20" xr:uid="{9AEE0C9D-79FD-416B-AEE9-6A4983152656}"/>
    <hyperlink ref="G23" r:id="rId21" xr:uid="{8FFA5292-A386-4328-841B-DE1B9B9D31BB}"/>
    <hyperlink ref="G27" r:id="rId22" xr:uid="{FED38EF1-7EBB-4CCF-8C22-B15B4E16A9DC}"/>
    <hyperlink ref="G32" r:id="rId23" xr:uid="{DF74167A-79DD-4749-82A7-F566B29144A3}"/>
    <hyperlink ref="G30" r:id="rId24" xr:uid="{D901237C-7193-48AD-B522-D630379A89C8}"/>
    <hyperlink ref="G101" r:id="rId25" xr:uid="{D1241D35-B3DC-4907-ADBB-FB03A51F3451}"/>
    <hyperlink ref="G29" r:id="rId26" xr:uid="{62E4F571-7894-4A6B-A12E-638566F6A8AF}"/>
    <hyperlink ref="G34" r:id="rId27" xr:uid="{DFFFA67D-D694-44CD-BF83-4BCE3699061F}"/>
    <hyperlink ref="G102" r:id="rId28" xr:uid="{BCE3C06E-5A6D-4DB0-A0A1-667C9D218EC0}"/>
    <hyperlink ref="G38" r:id="rId29" xr:uid="{53D4B0F9-E4E5-4C8B-BA6B-1279F863200F}"/>
    <hyperlink ref="G39" r:id="rId30" xr:uid="{1394C960-4AB8-43B7-9D37-DDE7B0736D1A}"/>
    <hyperlink ref="G48" r:id="rId31" xr:uid="{48FD018A-A521-41AC-B35A-F04F1627F77F}"/>
    <hyperlink ref="G42" r:id="rId32" xr:uid="{F784EAE0-B821-4906-AEB0-C76DBDF5A15E}"/>
    <hyperlink ref="G35" r:id="rId33" xr:uid="{58FDC221-2BE6-4624-A660-134DA2F3E2BA}"/>
    <hyperlink ref="G46" r:id="rId34" xr:uid="{FBA825C8-9855-4281-B7C9-388851A4581B}"/>
    <hyperlink ref="G47" r:id="rId35" xr:uid="{20179474-5013-4714-BA8D-9C0F0060C229}"/>
    <hyperlink ref="G87" r:id="rId36" xr:uid="{7FA64252-E20D-49F5-995B-57EB7BF55C33}"/>
    <hyperlink ref="G57" r:id="rId37" xr:uid="{6BE2A083-D9C0-40AA-8EAA-9AC77ED5B94E}"/>
    <hyperlink ref="G51" r:id="rId38" xr:uid="{ABB919F1-0031-4AA4-A019-4576C10E62D5}"/>
    <hyperlink ref="G103" r:id="rId39" xr:uid="{E4F989F8-BD2E-4FF6-AB2B-6C6B5500286A}"/>
    <hyperlink ref="G52" r:id="rId40" xr:uid="{696C409F-548D-4903-8C68-B6130A39AFB5}"/>
    <hyperlink ref="G50" r:id="rId41" xr:uid="{6B81B176-36C0-4654-81AE-CE4A15E2E5F9}"/>
    <hyperlink ref="G104" r:id="rId42" xr:uid="{DF7535D3-2F92-47B3-A96D-B941BCA2BE02}"/>
    <hyperlink ref="G59" r:id="rId43" xr:uid="{6C8D1446-F273-4C8E-AC64-6EDC6067E50D}"/>
    <hyperlink ref="G53" r:id="rId44" xr:uid="{4888EBD6-549C-46EA-9E85-4CD35EB5AF86}"/>
    <hyperlink ref="G49" r:id="rId45" xr:uid="{225D1D74-7825-46CF-BAA2-63686E7A383B}"/>
    <hyperlink ref="G105" r:id="rId46" xr:uid="{AC706967-AA46-40EE-8329-EB5F0B096DF6}"/>
    <hyperlink ref="G54" r:id="rId47" xr:uid="{D1BCFEE9-D016-4732-93AA-69D7489A20EB}"/>
    <hyperlink ref="G106" r:id="rId48" xr:uid="{E4899B58-B346-4E31-9014-7B423EAB9F24}"/>
    <hyperlink ref="G62" r:id="rId49" xr:uid="{068C00B2-3CFC-4EB3-AC3C-FDC950BC19BB}"/>
    <hyperlink ref="G56" r:id="rId50" xr:uid="{5FB333BB-E36F-480C-B462-ED725437A521}"/>
    <hyperlink ref="G79" r:id="rId51" xr:uid="{40E89031-5EC7-4303-BC68-73F879AE817C}"/>
    <hyperlink ref="G107" r:id="rId52" xr:uid="{B136346F-5238-402B-86DA-0CEBBDC1C24B}"/>
    <hyperlink ref="G61" r:id="rId53" xr:uid="{2E99C866-8DAC-438C-910D-0AEE678A68E2}"/>
    <hyperlink ref="G71" r:id="rId54" xr:uid="{60AA6917-83B9-4725-909C-2041D30ABA15}"/>
    <hyperlink ref="G58" r:id="rId55" xr:uid="{7940A012-4690-4BD6-96A7-4CB8AA8CFF4B}"/>
    <hyperlink ref="G63" r:id="rId56" xr:uid="{F643AA36-384C-4EB2-864E-A74B59F9BB8F}"/>
    <hyperlink ref="G64" r:id="rId57" xr:uid="{9344FE29-D740-4EE8-9B15-4AAC2A5F8BFA}"/>
    <hyperlink ref="G108" r:id="rId58" xr:uid="{36339E10-E0E4-4FEA-9F9C-D00A6CBB7F3D}"/>
    <hyperlink ref="G65" r:id="rId59" xr:uid="{E0D0A540-9A80-4D18-891D-C45552BDF75F}"/>
    <hyperlink ref="G69" r:id="rId60" xr:uid="{E4F2694D-B949-4243-8CE0-8B6B70A59D73}"/>
    <hyperlink ref="G109" r:id="rId61" xr:uid="{ABA4D284-6D76-4551-AE48-5D08BCC0C23B}"/>
    <hyperlink ref="G66" r:id="rId62" xr:uid="{42554704-5D5E-4CDB-9810-FDB6DE63417E}"/>
    <hyperlink ref="G72" r:id="rId63" xr:uid="{467E5D4B-BBB4-47D6-996F-ABFFEFA4C0E4}"/>
    <hyperlink ref="G73" r:id="rId64" xr:uid="{8D856999-0D7A-4F19-9286-41D06EDE38C5}"/>
    <hyperlink ref="G67" r:id="rId65" xr:uid="{AC3E0EF9-F81F-42F5-9168-155C875A8A98}"/>
    <hyperlink ref="G60" r:id="rId66" xr:uid="{DDB5D0DC-9193-40B6-80EB-95432C29CDED}"/>
    <hyperlink ref="G70" r:id="rId67" xr:uid="{E01B0A26-5EAC-42AF-B43D-E85927A9AFBE}"/>
    <hyperlink ref="G68" r:id="rId68" xr:uid="{1B4B2C68-F770-4AB0-AC7E-199A9851BEE7}"/>
    <hyperlink ref="G83" r:id="rId69" xr:uid="{27DB1A29-10FC-45DC-AE01-5FFD5EC20A0F}"/>
    <hyperlink ref="G75" r:id="rId70" xr:uid="{FC31010A-DB46-43B1-8DC3-6079CDCAB439}"/>
    <hyperlink ref="G86" r:id="rId71" xr:uid="{C5E401F0-B3F8-4B86-8FDB-BAE919ADDB83}"/>
    <hyperlink ref="G76" r:id="rId72" xr:uid="{480BFF6B-201A-423E-A60E-2979555D602C}"/>
    <hyperlink ref="G74" r:id="rId73" xr:uid="{7EA4A12F-1E24-4C75-9440-11823BF6764A}"/>
    <hyperlink ref="G92" r:id="rId74" xr:uid="{58C53295-5581-4356-B4EC-2773EAF8A1DD}"/>
    <hyperlink ref="G80" r:id="rId75" xr:uid="{3FEF9EB6-570C-4621-B3ED-4EF023BF37B7}"/>
    <hyperlink ref="G78" r:id="rId76" xr:uid="{FA63B5EE-1677-47A7-A0D5-295B30660DEA}"/>
    <hyperlink ref="G77" r:id="rId77" xr:uid="{0E895580-2A38-4307-BBED-C8C817306198}"/>
    <hyperlink ref="G84" r:id="rId78" xr:uid="{31DE7887-5B0E-4F15-A50B-B7253B191A61}"/>
    <hyperlink ref="G81" r:id="rId79" xr:uid="{91E0C0CC-C7EF-4B7A-ADAB-B3C01EEEEC02}"/>
    <hyperlink ref="G110" r:id="rId80" xr:uid="{4B7BBA9C-D2CE-49B9-85B6-CDC47C9E9BC7}"/>
    <hyperlink ref="G91" r:id="rId81" xr:uid="{6CD7E72B-3E2F-451E-8D51-59E4D2C62449}"/>
    <hyperlink ref="G111" r:id="rId82" xr:uid="{58BADAFF-645C-4559-B0C6-BA915AC15D81}"/>
    <hyperlink ref="G85" r:id="rId83" xr:uid="{398D1368-0FA8-46F5-BC56-26FBE8816A6E}"/>
    <hyperlink ref="G93" r:id="rId84" xr:uid="{03E92664-2DDB-4990-BC03-EC2F11C22B76}"/>
    <hyperlink ref="G112" r:id="rId85" xr:uid="{4CF722C7-34A8-45B1-BDA7-02907497EBCF}"/>
    <hyperlink ref="G97" r:id="rId86" xr:uid="{36733A40-FB00-4FC7-99B9-4489BEE35658}"/>
    <hyperlink ref="G94" r:id="rId87" xr:uid="{C3D2962A-6408-478B-A0BF-8292A5D497E4}"/>
    <hyperlink ref="G113" r:id="rId88" xr:uid="{3B42ADD6-3AE7-4C30-A742-609894728DD7}"/>
    <hyperlink ref="G88" r:id="rId89" xr:uid="{E4B68D2A-433B-4E6F-A416-8BBAC36171E9}"/>
    <hyperlink ref="G89" r:id="rId90" xr:uid="{7A353804-F775-4443-A526-3B03166CCBE9}"/>
    <hyperlink ref="G96" r:id="rId91" xr:uid="{B24E38B3-2CD6-45E2-8551-F9525AD067A6}"/>
    <hyperlink ref="G95" r:id="rId92" xr:uid="{AA5A6C46-91A8-430C-A56B-12C4EC2D447D}"/>
  </hyperlinks>
  <pageMargins left="0.7" right="0.7" top="0.75" bottom="0.75" header="0.3" footer="0.3"/>
  <pageSetup paperSize="9" orientation="portrait" r:id="rId93"/>
  <legacyDrawing r:id="rId9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BAA13-62F8-46AF-B78B-AD07FABBC5DA}">
  <dimension ref="A1:G98"/>
  <sheetViews>
    <sheetView workbookViewId="0">
      <pane ySplit="1" topLeftCell="A2" activePane="bottomLeft" state="frozen"/>
      <selection pane="bottomLeft" activeCell="A29" sqref="A29"/>
    </sheetView>
  </sheetViews>
  <sheetFormatPr baseColWidth="10" defaultColWidth="8.6640625" defaultRowHeight="13" x14ac:dyDescent="0.15"/>
  <cols>
    <col min="1" max="1" width="21.6640625" style="57" customWidth="1"/>
    <col min="2" max="2" width="15.5" style="68" bestFit="1" customWidth="1"/>
    <col min="3" max="3" width="8.6640625" style="68" bestFit="1" customWidth="1"/>
    <col min="4" max="4" width="18.83203125" style="75" bestFit="1" customWidth="1"/>
    <col min="5" max="5" width="31.5" style="76" bestFit="1" customWidth="1"/>
    <col min="6" max="6" width="15.6640625" style="76" bestFit="1" customWidth="1"/>
    <col min="7" max="7" width="18.83203125" style="68" bestFit="1" customWidth="1"/>
    <col min="8" max="16384" width="8.6640625" style="57"/>
  </cols>
  <sheetData>
    <row r="1" spans="1:7" x14ac:dyDescent="0.15">
      <c r="A1" s="58" t="s">
        <v>1572</v>
      </c>
      <c r="B1" s="65" t="s">
        <v>1573</v>
      </c>
      <c r="C1" s="65" t="s">
        <v>1574</v>
      </c>
      <c r="D1" s="69" t="s">
        <v>1575</v>
      </c>
      <c r="E1" s="67" t="s">
        <v>1576</v>
      </c>
      <c r="F1" s="67" t="s">
        <v>1577</v>
      </c>
      <c r="G1" s="65" t="s">
        <v>1578</v>
      </c>
    </row>
    <row r="2" spans="1:7" x14ac:dyDescent="0.15">
      <c r="A2" s="60" t="s">
        <v>1579</v>
      </c>
      <c r="B2" s="64"/>
      <c r="C2" s="65"/>
      <c r="D2" s="66"/>
      <c r="E2" s="67"/>
      <c r="F2" s="67"/>
    </row>
    <row r="3" spans="1:7" ht="14" x14ac:dyDescent="0.15">
      <c r="A3" s="59" t="s">
        <v>1580</v>
      </c>
      <c r="B3" s="63"/>
      <c r="C3" s="63"/>
      <c r="D3" s="70"/>
      <c r="E3" s="67"/>
      <c r="F3" s="67"/>
      <c r="G3" s="65"/>
    </row>
    <row r="4" spans="1:7" ht="14" x14ac:dyDescent="0.15">
      <c r="A4" s="59" t="s">
        <v>1581</v>
      </c>
      <c r="B4" s="63"/>
      <c r="C4" s="63"/>
      <c r="D4" s="70"/>
      <c r="E4" s="67"/>
      <c r="F4" s="67"/>
      <c r="G4" s="65"/>
    </row>
    <row r="5" spans="1:7" ht="14" x14ac:dyDescent="0.15">
      <c r="A5" s="59" t="s">
        <v>1582</v>
      </c>
      <c r="B5" s="63"/>
      <c r="C5" s="63"/>
      <c r="D5" s="70"/>
      <c r="E5" s="67"/>
      <c r="F5" s="67"/>
      <c r="G5" s="65"/>
    </row>
    <row r="6" spans="1:7" ht="14" x14ac:dyDescent="0.15">
      <c r="A6" s="59" t="s">
        <v>1583</v>
      </c>
      <c r="B6" s="63"/>
      <c r="C6" s="63"/>
      <c r="D6" s="70"/>
      <c r="E6" s="67"/>
      <c r="F6" s="67"/>
      <c r="G6" s="65"/>
    </row>
    <row r="7" spans="1:7" ht="14" x14ac:dyDescent="0.15">
      <c r="A7" s="59" t="s">
        <v>1584</v>
      </c>
      <c r="B7" s="63"/>
      <c r="C7" s="63"/>
      <c r="D7" s="70"/>
      <c r="E7" s="67"/>
      <c r="F7" s="67"/>
      <c r="G7" s="65"/>
    </row>
    <row r="8" spans="1:7" ht="14" x14ac:dyDescent="0.15">
      <c r="A8" s="59" t="s">
        <v>1585</v>
      </c>
      <c r="B8" s="63"/>
      <c r="C8" s="63"/>
      <c r="D8" s="70"/>
      <c r="E8" s="67"/>
      <c r="F8" s="67"/>
      <c r="G8" s="65"/>
    </row>
    <row r="9" spans="1:7" ht="14" x14ac:dyDescent="0.15">
      <c r="A9" s="59" t="s">
        <v>1586</v>
      </c>
      <c r="B9" s="63"/>
      <c r="C9" s="63"/>
      <c r="D9" s="70"/>
      <c r="E9" s="67"/>
      <c r="F9" s="67"/>
      <c r="G9" s="65"/>
    </row>
    <row r="10" spans="1:7" ht="14" x14ac:dyDescent="0.15">
      <c r="A10" s="59" t="s">
        <v>1587</v>
      </c>
      <c r="B10" s="63"/>
      <c r="C10" s="63"/>
      <c r="D10" s="70"/>
      <c r="E10" s="67"/>
      <c r="F10" s="67"/>
      <c r="G10" s="65"/>
    </row>
    <row r="11" spans="1:7" ht="14" x14ac:dyDescent="0.15">
      <c r="A11" s="59" t="s">
        <v>1588</v>
      </c>
      <c r="B11" s="63"/>
      <c r="C11" s="63"/>
      <c r="D11" s="70"/>
      <c r="E11" s="67"/>
      <c r="F11" s="67"/>
      <c r="G11" s="65"/>
    </row>
    <row r="12" spans="1:7" ht="14" x14ac:dyDescent="0.15">
      <c r="A12" s="59" t="s">
        <v>1589</v>
      </c>
      <c r="B12" s="63"/>
      <c r="C12" s="63"/>
      <c r="D12" s="70"/>
      <c r="E12" s="67"/>
      <c r="F12" s="67"/>
      <c r="G12" s="65"/>
    </row>
    <row r="13" spans="1:7" x14ac:dyDescent="0.15">
      <c r="A13" s="58"/>
      <c r="B13" s="65"/>
      <c r="C13" s="65"/>
      <c r="D13" s="69"/>
      <c r="E13" s="67"/>
      <c r="F13" s="67"/>
      <c r="G13" s="65"/>
    </row>
    <row r="14" spans="1:7" x14ac:dyDescent="0.15">
      <c r="A14" s="58"/>
      <c r="B14" s="65"/>
      <c r="C14" s="65"/>
      <c r="D14" s="69"/>
      <c r="E14" s="67"/>
      <c r="F14" s="67"/>
      <c r="G14" s="65"/>
    </row>
    <row r="15" spans="1:7" ht="14" x14ac:dyDescent="0.15">
      <c r="A15" s="61" t="s">
        <v>1590</v>
      </c>
      <c r="B15" s="71"/>
      <c r="C15" s="63"/>
      <c r="D15" s="72"/>
      <c r="E15" s="67"/>
      <c r="F15" s="67"/>
      <c r="G15" s="65"/>
    </row>
    <row r="16" spans="1:7" x14ac:dyDescent="0.15">
      <c r="A16" s="58" t="s">
        <v>1572</v>
      </c>
      <c r="B16" s="65"/>
      <c r="C16" s="65"/>
      <c r="D16" s="69"/>
      <c r="E16" s="67" t="s">
        <v>1576</v>
      </c>
      <c r="F16" s="67"/>
      <c r="G16" s="65"/>
    </row>
    <row r="17" spans="1:7" ht="14" x14ac:dyDescent="0.15">
      <c r="A17" s="59" t="s">
        <v>1591</v>
      </c>
      <c r="B17" s="63"/>
      <c r="C17" s="63"/>
      <c r="D17" s="70"/>
      <c r="E17" s="67"/>
      <c r="F17" s="67"/>
      <c r="G17" s="65"/>
    </row>
    <row r="18" spans="1:7" ht="14" x14ac:dyDescent="0.15">
      <c r="A18" s="59" t="s">
        <v>1592</v>
      </c>
      <c r="B18" s="63"/>
      <c r="C18" s="63"/>
      <c r="D18" s="70"/>
      <c r="E18" s="67"/>
      <c r="F18" s="67">
        <v>3013.75</v>
      </c>
      <c r="G18" s="65"/>
    </row>
    <row r="19" spans="1:7" ht="14" x14ac:dyDescent="0.15">
      <c r="A19" s="59" t="s">
        <v>1593</v>
      </c>
      <c r="B19" s="63"/>
      <c r="C19" s="63">
        <v>469583</v>
      </c>
      <c r="D19" s="70">
        <v>45156</v>
      </c>
      <c r="E19" s="73">
        <v>387.6</v>
      </c>
      <c r="F19" s="67">
        <f>SUM(F18-E19)</f>
        <v>2626.15</v>
      </c>
      <c r="G19" s="70">
        <v>45162</v>
      </c>
    </row>
    <row r="20" spans="1:7" ht="14" x14ac:dyDescent="0.15">
      <c r="A20" s="59" t="s">
        <v>1594</v>
      </c>
      <c r="B20" s="63">
        <v>326512</v>
      </c>
      <c r="C20" s="63">
        <v>470734</v>
      </c>
      <c r="D20" s="70">
        <v>45167</v>
      </c>
      <c r="E20" s="67">
        <v>355.09</v>
      </c>
      <c r="F20" s="67">
        <f t="shared" ref="F20:F21" si="0">SUM(F19-E20)</f>
        <v>2271.06</v>
      </c>
      <c r="G20" s="70">
        <v>45168</v>
      </c>
    </row>
    <row r="21" spans="1:7" ht="14" x14ac:dyDescent="0.15">
      <c r="A21" s="59" t="s">
        <v>1595</v>
      </c>
      <c r="B21" s="63"/>
      <c r="C21" s="74">
        <v>470093</v>
      </c>
      <c r="D21" s="70">
        <v>45156</v>
      </c>
      <c r="E21" s="73">
        <v>568.9</v>
      </c>
      <c r="F21" s="67">
        <f t="shared" si="0"/>
        <v>1702.1599999999999</v>
      </c>
      <c r="G21" s="70">
        <v>45159</v>
      </c>
    </row>
    <row r="22" spans="1:7" x14ac:dyDescent="0.15">
      <c r="A22" s="78"/>
      <c r="B22" s="79"/>
      <c r="C22" s="79"/>
      <c r="D22" s="80"/>
      <c r="E22" s="81"/>
      <c r="F22" s="81"/>
      <c r="G22" s="79"/>
    </row>
    <row r="23" spans="1:7" x14ac:dyDescent="0.15">
      <c r="A23" s="78" t="s">
        <v>1596</v>
      </c>
      <c r="B23" s="79"/>
      <c r="C23" s="79"/>
      <c r="D23" s="80"/>
      <c r="E23" s="81"/>
      <c r="F23" s="81">
        <v>4914.8</v>
      </c>
      <c r="G23" s="79"/>
    </row>
    <row r="24" spans="1:7" ht="14" x14ac:dyDescent="0.15">
      <c r="A24" s="59" t="s">
        <v>1597</v>
      </c>
      <c r="B24" s="65"/>
      <c r="C24" s="65">
        <v>476418</v>
      </c>
      <c r="D24" s="69"/>
      <c r="E24" s="67">
        <v>515.51</v>
      </c>
      <c r="F24" s="67">
        <f t="shared" ref="F24:F32" si="1">SUM(F23-E24)</f>
        <v>4399.29</v>
      </c>
      <c r="G24" s="70">
        <v>45236</v>
      </c>
    </row>
    <row r="25" spans="1:7" ht="14" x14ac:dyDescent="0.15">
      <c r="A25" s="59" t="s">
        <v>1598</v>
      </c>
      <c r="B25" s="65"/>
      <c r="C25" s="65">
        <v>478421</v>
      </c>
      <c r="D25" s="69">
        <v>45254</v>
      </c>
      <c r="E25" s="67">
        <v>217.93</v>
      </c>
      <c r="F25" s="67">
        <f t="shared" si="1"/>
        <v>4181.3599999999997</v>
      </c>
      <c r="G25" s="70">
        <v>45258</v>
      </c>
    </row>
    <row r="26" spans="1:7" ht="14" x14ac:dyDescent="0.15">
      <c r="A26" s="59" t="s">
        <v>1599</v>
      </c>
      <c r="B26" s="65"/>
      <c r="C26" s="65">
        <v>480163</v>
      </c>
      <c r="D26" s="69"/>
      <c r="E26" s="67">
        <v>568.9</v>
      </c>
      <c r="F26" s="67">
        <f t="shared" si="1"/>
        <v>3612.4599999999996</v>
      </c>
      <c r="G26" s="70">
        <v>45280</v>
      </c>
    </row>
    <row r="27" spans="1:7" ht="14" x14ac:dyDescent="0.15">
      <c r="A27" s="59" t="s">
        <v>1600</v>
      </c>
      <c r="B27" s="65"/>
      <c r="C27" s="65">
        <v>477932</v>
      </c>
      <c r="D27" s="69"/>
      <c r="E27" s="67">
        <v>322.58</v>
      </c>
      <c r="F27" s="67">
        <f t="shared" si="1"/>
        <v>3289.8799999999997</v>
      </c>
      <c r="G27" s="70">
        <v>45251</v>
      </c>
    </row>
    <row r="28" spans="1:7" x14ac:dyDescent="0.15">
      <c r="A28" s="58" t="s">
        <v>1601</v>
      </c>
      <c r="B28" s="65"/>
      <c r="C28" s="65">
        <v>480972</v>
      </c>
      <c r="D28" s="69"/>
      <c r="E28" s="67">
        <v>322.58</v>
      </c>
      <c r="F28" s="67">
        <f t="shared" si="1"/>
        <v>2967.2999999999997</v>
      </c>
      <c r="G28" s="70">
        <v>45295</v>
      </c>
    </row>
    <row r="29" spans="1:7" x14ac:dyDescent="0.15">
      <c r="A29" s="58" t="s">
        <v>1602</v>
      </c>
      <c r="B29" s="65"/>
      <c r="C29" s="65">
        <v>479938</v>
      </c>
      <c r="D29" s="69"/>
      <c r="E29" s="67">
        <v>301.45</v>
      </c>
      <c r="F29" s="67">
        <f t="shared" si="1"/>
        <v>2665.85</v>
      </c>
      <c r="G29" s="70">
        <v>45271</v>
      </c>
    </row>
    <row r="30" spans="1:7" x14ac:dyDescent="0.15">
      <c r="A30" s="58" t="s">
        <v>1603</v>
      </c>
      <c r="B30" s="65"/>
      <c r="C30" s="65"/>
      <c r="D30" s="69"/>
      <c r="E30" s="67"/>
      <c r="F30" s="67">
        <f t="shared" si="1"/>
        <v>2665.85</v>
      </c>
      <c r="G30" s="65" t="s">
        <v>1604</v>
      </c>
    </row>
    <row r="31" spans="1:7" x14ac:dyDescent="0.15">
      <c r="A31" s="58" t="s">
        <v>1605</v>
      </c>
      <c r="B31" s="65"/>
      <c r="C31" s="65">
        <v>483484</v>
      </c>
      <c r="D31" s="69"/>
      <c r="E31" s="67">
        <v>275.77999999999997</v>
      </c>
      <c r="F31" s="67">
        <f t="shared" si="1"/>
        <v>2390.0699999999997</v>
      </c>
      <c r="G31" s="70">
        <v>45322</v>
      </c>
    </row>
    <row r="32" spans="1:7" x14ac:dyDescent="0.15">
      <c r="A32" s="58" t="s">
        <v>1606</v>
      </c>
      <c r="B32" s="65"/>
      <c r="C32" s="65">
        <v>482633</v>
      </c>
      <c r="D32" s="69"/>
      <c r="E32" s="67">
        <v>238.81</v>
      </c>
      <c r="F32" s="67">
        <f t="shared" si="1"/>
        <v>2151.2599999999998</v>
      </c>
      <c r="G32" s="70">
        <v>45306</v>
      </c>
    </row>
    <row r="33" spans="1:7" x14ac:dyDescent="0.15">
      <c r="A33" s="58"/>
      <c r="B33" s="65"/>
      <c r="C33" s="65"/>
      <c r="D33" s="69"/>
      <c r="E33" s="67"/>
      <c r="F33" s="67"/>
      <c r="G33" s="65"/>
    </row>
    <row r="34" spans="1:7" x14ac:dyDescent="0.15">
      <c r="A34" s="58" t="s">
        <v>1607</v>
      </c>
      <c r="B34" s="65"/>
      <c r="C34" s="65"/>
      <c r="D34" s="69"/>
      <c r="E34" s="67"/>
      <c r="F34" s="67">
        <v>12151.26</v>
      </c>
      <c r="G34" s="65"/>
    </row>
    <row r="35" spans="1:7" x14ac:dyDescent="0.15">
      <c r="A35" s="58" t="s">
        <v>1608</v>
      </c>
      <c r="B35" s="65"/>
      <c r="C35" s="65">
        <v>486685</v>
      </c>
      <c r="D35" s="69"/>
      <c r="E35" s="67">
        <v>663.67</v>
      </c>
      <c r="F35" s="67">
        <f>SUM(F34-E35)</f>
        <v>11487.59</v>
      </c>
      <c r="G35" s="70">
        <v>45411</v>
      </c>
    </row>
    <row r="36" spans="1:7" x14ac:dyDescent="0.15">
      <c r="B36" s="65"/>
      <c r="C36" s="65"/>
      <c r="D36" s="69"/>
      <c r="E36" s="67"/>
      <c r="F36" s="67">
        <f>SUM(F35-E36)</f>
        <v>11487.59</v>
      </c>
      <c r="G36" s="65"/>
    </row>
    <row r="37" spans="1:7" x14ac:dyDescent="0.15">
      <c r="A37" s="58" t="s">
        <v>1609</v>
      </c>
      <c r="B37" s="65"/>
      <c r="C37" s="65">
        <v>490852</v>
      </c>
      <c r="D37" s="69"/>
      <c r="E37" s="67">
        <v>464.15</v>
      </c>
      <c r="F37" s="67">
        <f>SUM(F36-E37)</f>
        <v>11023.44</v>
      </c>
      <c r="G37" s="70">
        <v>45411</v>
      </c>
    </row>
    <row r="38" spans="1:7" x14ac:dyDescent="0.15">
      <c r="A38" s="58" t="s">
        <v>1610</v>
      </c>
      <c r="B38" s="65"/>
      <c r="C38" s="65">
        <v>490996</v>
      </c>
      <c r="D38" s="69"/>
      <c r="E38" s="67">
        <v>507.57</v>
      </c>
      <c r="F38" s="67">
        <f>SUM(F37-E38)</f>
        <v>10515.87</v>
      </c>
      <c r="G38" s="70">
        <v>45411</v>
      </c>
    </row>
    <row r="39" spans="1:7" x14ac:dyDescent="0.15">
      <c r="A39" s="58"/>
      <c r="B39" s="65"/>
      <c r="C39" s="65"/>
      <c r="D39" s="69"/>
      <c r="E39" s="67"/>
      <c r="F39" s="67"/>
      <c r="G39" s="65"/>
    </row>
    <row r="40" spans="1:7" x14ac:dyDescent="0.15">
      <c r="A40" s="58" t="s">
        <v>1611</v>
      </c>
      <c r="B40" s="65"/>
      <c r="C40" s="65"/>
      <c r="D40" s="69"/>
      <c r="E40" s="67"/>
      <c r="F40" s="67">
        <v>15000</v>
      </c>
      <c r="G40" s="65"/>
    </row>
    <row r="41" spans="1:7" x14ac:dyDescent="0.15">
      <c r="A41" s="58" t="s">
        <v>1612</v>
      </c>
      <c r="B41" s="65">
        <v>265103</v>
      </c>
      <c r="C41" s="65">
        <v>494853</v>
      </c>
      <c r="D41" s="69">
        <v>45449</v>
      </c>
      <c r="E41" s="67">
        <v>550.98</v>
      </c>
      <c r="F41" s="67">
        <f t="shared" ref="F41:F48" si="2">F40-E41</f>
        <v>14449.02</v>
      </c>
      <c r="G41" s="131">
        <v>45453</v>
      </c>
    </row>
    <row r="42" spans="1:7" x14ac:dyDescent="0.15">
      <c r="A42" s="58" t="s">
        <v>1613</v>
      </c>
      <c r="B42" s="65"/>
      <c r="C42" s="65">
        <v>497229</v>
      </c>
      <c r="D42" s="69"/>
      <c r="E42" s="67">
        <v>546.86</v>
      </c>
      <c r="F42" s="67">
        <f t="shared" si="2"/>
        <v>13902.16</v>
      </c>
      <c r="G42" s="131">
        <v>45495</v>
      </c>
    </row>
    <row r="43" spans="1:7" x14ac:dyDescent="0.15">
      <c r="A43" s="58" t="s">
        <v>1614</v>
      </c>
      <c r="B43" s="65"/>
      <c r="C43" s="65">
        <v>498253</v>
      </c>
      <c r="D43" s="69"/>
      <c r="E43" s="67">
        <v>434.15</v>
      </c>
      <c r="F43" s="67">
        <f t="shared" si="2"/>
        <v>13468.01</v>
      </c>
      <c r="G43" s="131">
        <v>45497</v>
      </c>
    </row>
    <row r="44" spans="1:7" ht="70" x14ac:dyDescent="0.15">
      <c r="A44" s="58" t="s">
        <v>1615</v>
      </c>
      <c r="B44" s="65"/>
      <c r="C44" s="65">
        <v>498247</v>
      </c>
      <c r="D44" s="69"/>
      <c r="E44" s="67">
        <v>546.86</v>
      </c>
      <c r="F44" s="67">
        <f t="shared" si="2"/>
        <v>12921.15</v>
      </c>
      <c r="G44" s="63" t="s">
        <v>1616</v>
      </c>
    </row>
    <row r="45" spans="1:7" x14ac:dyDescent="0.15">
      <c r="A45" s="58" t="s">
        <v>1617</v>
      </c>
      <c r="B45" s="65"/>
      <c r="C45" s="65">
        <v>498437</v>
      </c>
      <c r="D45" s="69"/>
      <c r="E45" s="67">
        <v>499.68</v>
      </c>
      <c r="F45" s="67">
        <f t="shared" si="2"/>
        <v>12421.47</v>
      </c>
      <c r="G45" s="131">
        <v>45499</v>
      </c>
    </row>
    <row r="46" spans="1:7" x14ac:dyDescent="0.15">
      <c r="A46" s="58" t="s">
        <v>1618</v>
      </c>
      <c r="B46" s="65"/>
      <c r="C46" s="65">
        <v>500065</v>
      </c>
      <c r="D46" s="69"/>
      <c r="E46" s="67">
        <v>275.77999999999997</v>
      </c>
      <c r="F46" s="67">
        <f t="shared" si="2"/>
        <v>12145.689999999999</v>
      </c>
      <c r="G46" s="131">
        <v>45551</v>
      </c>
    </row>
    <row r="47" spans="1:7" x14ac:dyDescent="0.15">
      <c r="A47" s="58" t="s">
        <v>1619</v>
      </c>
      <c r="B47" s="65"/>
      <c r="C47" s="65">
        <v>500300</v>
      </c>
      <c r="D47" s="69"/>
      <c r="E47" s="67">
        <v>507.57</v>
      </c>
      <c r="F47" s="67">
        <f t="shared" si="2"/>
        <v>11638.119999999999</v>
      </c>
      <c r="G47" s="131">
        <v>45533</v>
      </c>
    </row>
    <row r="48" spans="1:7" x14ac:dyDescent="0.15">
      <c r="A48" s="58" t="s">
        <v>1620</v>
      </c>
      <c r="B48" s="65"/>
      <c r="C48" s="65">
        <v>500834</v>
      </c>
      <c r="D48" s="69"/>
      <c r="E48" s="67">
        <v>507.57</v>
      </c>
      <c r="F48" s="67">
        <f t="shared" si="2"/>
        <v>11130.55</v>
      </c>
      <c r="G48" s="131">
        <v>45551</v>
      </c>
    </row>
    <row r="49" spans="1:7" x14ac:dyDescent="0.15">
      <c r="A49" s="58" t="s">
        <v>1621</v>
      </c>
      <c r="B49" s="65"/>
      <c r="C49" s="65">
        <v>501089</v>
      </c>
      <c r="D49" s="69"/>
      <c r="E49" s="67">
        <v>298.13</v>
      </c>
      <c r="F49" s="67">
        <f t="shared" ref="F49:F52" si="3">F48-E49</f>
        <v>10832.42</v>
      </c>
      <c r="G49" s="65" t="s">
        <v>1622</v>
      </c>
    </row>
    <row r="50" spans="1:7" x14ac:dyDescent="0.15">
      <c r="A50" s="58" t="s">
        <v>1623</v>
      </c>
      <c r="B50" s="65"/>
      <c r="C50" s="65">
        <v>502665</v>
      </c>
      <c r="D50" s="69"/>
      <c r="E50" s="67">
        <v>320.47000000000003</v>
      </c>
      <c r="F50" s="67">
        <f t="shared" si="3"/>
        <v>10511.95</v>
      </c>
      <c r="G50" s="131">
        <v>45551</v>
      </c>
    </row>
    <row r="51" spans="1:7" x14ac:dyDescent="0.15">
      <c r="A51" s="58" t="s">
        <v>1624</v>
      </c>
      <c r="B51" s="65"/>
      <c r="C51" s="65">
        <v>503253</v>
      </c>
      <c r="D51" s="69"/>
      <c r="E51" s="67">
        <v>507.57</v>
      </c>
      <c r="F51" s="67">
        <f t="shared" si="3"/>
        <v>10004.380000000001</v>
      </c>
      <c r="G51" s="131">
        <v>45559</v>
      </c>
    </row>
    <row r="52" spans="1:7" x14ac:dyDescent="0.15">
      <c r="A52" s="58" t="s">
        <v>1625</v>
      </c>
      <c r="B52" s="65"/>
      <c r="C52" s="65">
        <v>506475</v>
      </c>
      <c r="D52" s="69"/>
      <c r="E52" s="67">
        <v>464.15</v>
      </c>
      <c r="F52" s="67">
        <f t="shared" si="3"/>
        <v>9540.2300000000014</v>
      </c>
      <c r="G52" s="131">
        <v>45609</v>
      </c>
    </row>
    <row r="53" spans="1:7" x14ac:dyDescent="0.15">
      <c r="A53" s="58" t="s">
        <v>1626</v>
      </c>
      <c r="B53" s="65"/>
      <c r="C53" s="65">
        <v>506920</v>
      </c>
      <c r="D53" s="69"/>
      <c r="E53" s="67">
        <v>464.15</v>
      </c>
      <c r="F53" s="67">
        <f t="shared" ref="F53:F59" si="4">F52-E53</f>
        <v>9076.0800000000017</v>
      </c>
      <c r="G53" s="131">
        <v>45726</v>
      </c>
    </row>
    <row r="54" spans="1:7" x14ac:dyDescent="0.15">
      <c r="A54" s="58" t="s">
        <v>1627</v>
      </c>
      <c r="B54" s="65"/>
      <c r="C54" s="65">
        <v>507868</v>
      </c>
      <c r="D54" s="69"/>
      <c r="E54" s="67">
        <v>464.15</v>
      </c>
      <c r="F54" s="67">
        <f t="shared" si="4"/>
        <v>8611.9300000000021</v>
      </c>
      <c r="G54" s="131">
        <v>45636</v>
      </c>
    </row>
    <row r="55" spans="1:7" x14ac:dyDescent="0.15">
      <c r="A55" s="58" t="s">
        <v>1628</v>
      </c>
      <c r="B55" s="65"/>
      <c r="C55" s="65">
        <v>508947</v>
      </c>
      <c r="D55" s="69"/>
      <c r="E55" s="67">
        <v>294.04000000000002</v>
      </c>
      <c r="F55" s="67">
        <f t="shared" si="4"/>
        <v>8317.8900000000012</v>
      </c>
      <c r="G55" s="131">
        <v>45642</v>
      </c>
    </row>
    <row r="56" spans="1:7" x14ac:dyDescent="0.15">
      <c r="A56" s="58" t="s">
        <v>1629</v>
      </c>
      <c r="B56" s="65">
        <v>273718</v>
      </c>
      <c r="C56" s="65">
        <v>510120</v>
      </c>
      <c r="D56" s="69"/>
      <c r="E56" s="67">
        <v>507.57</v>
      </c>
      <c r="F56" s="67">
        <f t="shared" si="4"/>
        <v>7810.3200000000015</v>
      </c>
      <c r="G56" s="131">
        <v>45667</v>
      </c>
    </row>
    <row r="57" spans="1:7" x14ac:dyDescent="0.15">
      <c r="A57" s="58" t="s">
        <v>1630</v>
      </c>
      <c r="B57" s="65"/>
      <c r="C57" s="65">
        <v>512370</v>
      </c>
      <c r="D57" s="69"/>
      <c r="E57" s="67">
        <v>311.35000000000002</v>
      </c>
      <c r="F57" s="67">
        <f t="shared" si="4"/>
        <v>7498.9700000000012</v>
      </c>
      <c r="G57" s="131">
        <v>45706</v>
      </c>
    </row>
    <row r="58" spans="1:7" x14ac:dyDescent="0.15">
      <c r="A58" s="58" t="s">
        <v>1631</v>
      </c>
      <c r="B58" s="65"/>
      <c r="C58" s="65">
        <v>513932</v>
      </c>
      <c r="D58" s="69"/>
      <c r="E58" s="67">
        <v>285.82</v>
      </c>
      <c r="F58" s="67">
        <f t="shared" si="4"/>
        <v>7213.1500000000015</v>
      </c>
      <c r="G58" s="131">
        <v>45726</v>
      </c>
    </row>
    <row r="59" spans="1:7" x14ac:dyDescent="0.15">
      <c r="A59" s="58" t="s">
        <v>1632</v>
      </c>
      <c r="B59" s="65">
        <v>276618</v>
      </c>
      <c r="C59" s="65">
        <v>514756</v>
      </c>
      <c r="D59" s="69"/>
      <c r="E59" s="67">
        <v>507.57</v>
      </c>
      <c r="F59" s="67">
        <f t="shared" si="4"/>
        <v>6705.5800000000017</v>
      </c>
      <c r="G59" s="131">
        <v>45730</v>
      </c>
    </row>
    <row r="60" spans="1:7" ht="12" customHeight="1" x14ac:dyDescent="0.15">
      <c r="A60" s="58" t="s">
        <v>1633</v>
      </c>
      <c r="B60" s="65"/>
      <c r="C60" s="65">
        <v>515133</v>
      </c>
      <c r="D60" s="69"/>
      <c r="E60" s="67">
        <v>507.57</v>
      </c>
      <c r="F60" s="67">
        <f>F59-E60</f>
        <v>6198.010000000002</v>
      </c>
      <c r="G60" s="131">
        <v>45740</v>
      </c>
    </row>
    <row r="61" spans="1:7" x14ac:dyDescent="0.15">
      <c r="A61" s="58" t="s">
        <v>1634</v>
      </c>
      <c r="B61" s="65"/>
      <c r="C61" s="65">
        <v>515913</v>
      </c>
      <c r="D61" s="69"/>
      <c r="E61" s="67">
        <v>507.57</v>
      </c>
      <c r="F61" s="67">
        <f>F60-E61</f>
        <v>5690.4400000000023</v>
      </c>
      <c r="G61" s="131">
        <v>45754</v>
      </c>
    </row>
    <row r="62" spans="1:7" x14ac:dyDescent="0.15">
      <c r="A62" s="58" t="s">
        <v>1635</v>
      </c>
      <c r="B62" s="65"/>
      <c r="C62" s="65">
        <v>517003</v>
      </c>
      <c r="D62" s="69"/>
      <c r="E62" s="67">
        <v>555.22</v>
      </c>
      <c r="F62" s="67">
        <f>F64-E62</f>
        <v>4097.9300000000021</v>
      </c>
      <c r="G62" s="131">
        <v>45762</v>
      </c>
    </row>
    <row r="63" spans="1:7" x14ac:dyDescent="0.15">
      <c r="A63" s="58" t="s">
        <v>1636</v>
      </c>
      <c r="B63" s="65"/>
      <c r="C63" s="65">
        <v>516229</v>
      </c>
      <c r="D63" s="69"/>
      <c r="E63" s="67">
        <v>555.22</v>
      </c>
      <c r="F63" s="67">
        <f>F61-E63</f>
        <v>5135.2200000000021</v>
      </c>
      <c r="G63" s="131">
        <v>45770</v>
      </c>
    </row>
    <row r="64" spans="1:7" x14ac:dyDescent="0.15">
      <c r="A64" s="58" t="s">
        <v>1637</v>
      </c>
      <c r="B64" s="65"/>
      <c r="C64" s="65">
        <v>516563</v>
      </c>
      <c r="D64" s="69"/>
      <c r="E64" s="67">
        <v>482.07</v>
      </c>
      <c r="F64" s="67">
        <f t="shared" ref="F64:F67" si="5">F63-E64</f>
        <v>4653.1500000000024</v>
      </c>
      <c r="G64" s="131">
        <v>45770</v>
      </c>
    </row>
    <row r="65" spans="1:7" x14ac:dyDescent="0.15">
      <c r="A65" s="58" t="s">
        <v>1638</v>
      </c>
      <c r="B65" s="65">
        <v>1992</v>
      </c>
      <c r="C65" s="65">
        <v>519101</v>
      </c>
      <c r="D65" s="69"/>
      <c r="E65" s="67">
        <v>555.22</v>
      </c>
      <c r="F65" s="67">
        <f t="shared" si="5"/>
        <v>4097.9300000000021</v>
      </c>
      <c r="G65" s="131">
        <v>45796</v>
      </c>
    </row>
    <row r="66" spans="1:7" x14ac:dyDescent="0.15">
      <c r="A66" s="58" t="s">
        <v>1639</v>
      </c>
      <c r="B66" s="65">
        <v>425487</v>
      </c>
      <c r="C66" s="65">
        <v>519479</v>
      </c>
      <c r="D66" s="69"/>
      <c r="E66" s="67">
        <v>507.47</v>
      </c>
      <c r="F66" s="67">
        <f t="shared" si="5"/>
        <v>3590.4600000000019</v>
      </c>
      <c r="G66" s="131">
        <v>45805</v>
      </c>
    </row>
    <row r="67" spans="1:7" x14ac:dyDescent="0.15">
      <c r="A67" s="58" t="s">
        <v>1640</v>
      </c>
      <c r="B67" s="65">
        <v>425488</v>
      </c>
      <c r="C67" s="65">
        <v>519833</v>
      </c>
      <c r="D67" s="69"/>
      <c r="E67" s="67">
        <v>555.22</v>
      </c>
      <c r="F67" s="67">
        <f t="shared" si="5"/>
        <v>3035.2400000000016</v>
      </c>
      <c r="G67" s="131">
        <v>45805</v>
      </c>
    </row>
    <row r="68" spans="1:7" x14ac:dyDescent="0.15">
      <c r="A68" s="58"/>
      <c r="B68" s="65"/>
      <c r="C68" s="65"/>
      <c r="D68" s="69"/>
      <c r="E68" s="67"/>
      <c r="F68" s="67"/>
      <c r="G68" s="65"/>
    </row>
    <row r="69" spans="1:7" x14ac:dyDescent="0.15">
      <c r="A69" s="58"/>
      <c r="B69" s="65"/>
      <c r="C69" s="65"/>
      <c r="D69" s="69"/>
      <c r="E69" s="67"/>
      <c r="F69" s="67"/>
      <c r="G69" s="65"/>
    </row>
    <row r="70" spans="1:7" x14ac:dyDescent="0.15">
      <c r="A70" s="60" t="s">
        <v>1641</v>
      </c>
      <c r="B70" s="65"/>
      <c r="C70" s="65"/>
      <c r="D70" s="69"/>
      <c r="E70" s="67"/>
      <c r="F70" s="67">
        <v>15000</v>
      </c>
      <c r="G70" s="65"/>
    </row>
    <row r="71" spans="1:7" x14ac:dyDescent="0.15">
      <c r="A71" s="58" t="s">
        <v>1642</v>
      </c>
      <c r="B71" s="65">
        <v>425486</v>
      </c>
      <c r="C71" s="65">
        <v>519463</v>
      </c>
      <c r="D71" s="69"/>
      <c r="E71" s="67">
        <v>507.47</v>
      </c>
      <c r="F71" s="67">
        <f t="shared" ref="F71:F93" si="6">F70-E71</f>
        <v>14492.53</v>
      </c>
      <c r="G71" s="131">
        <v>45805</v>
      </c>
    </row>
    <row r="72" spans="1:7" x14ac:dyDescent="0.15">
      <c r="A72" s="58" t="s">
        <v>1643</v>
      </c>
      <c r="B72" s="65">
        <v>426691</v>
      </c>
      <c r="C72" s="65">
        <v>519906</v>
      </c>
      <c r="D72" s="69"/>
      <c r="E72" s="67">
        <v>555.22</v>
      </c>
      <c r="F72" s="67">
        <f t="shared" si="6"/>
        <v>13937.310000000001</v>
      </c>
      <c r="G72" s="131">
        <v>45810</v>
      </c>
    </row>
    <row r="73" spans="1:7" x14ac:dyDescent="0.15">
      <c r="A73" s="58" t="s">
        <v>1644</v>
      </c>
      <c r="B73" s="65">
        <v>427502</v>
      </c>
      <c r="C73" s="65">
        <v>520301</v>
      </c>
      <c r="D73" s="69"/>
      <c r="E73" s="67">
        <v>555.22</v>
      </c>
      <c r="F73" s="67">
        <f t="shared" si="6"/>
        <v>13382.090000000002</v>
      </c>
      <c r="G73" s="131">
        <v>45814</v>
      </c>
    </row>
    <row r="74" spans="1:7" x14ac:dyDescent="0.15">
      <c r="A74" s="58" t="s">
        <v>1645</v>
      </c>
      <c r="B74" s="65">
        <v>427503</v>
      </c>
      <c r="C74" s="65">
        <v>520306</v>
      </c>
      <c r="D74" s="69"/>
      <c r="E74" s="67">
        <v>555.22</v>
      </c>
      <c r="F74" s="67">
        <f t="shared" si="6"/>
        <v>12826.870000000003</v>
      </c>
      <c r="G74" s="131">
        <v>45814</v>
      </c>
    </row>
    <row r="75" spans="1:7" x14ac:dyDescent="0.15">
      <c r="A75" s="58" t="s">
        <v>1646</v>
      </c>
      <c r="B75" s="65"/>
      <c r="C75" s="65">
        <v>521095</v>
      </c>
      <c r="D75" s="69"/>
      <c r="E75" s="67">
        <v>334.8</v>
      </c>
      <c r="F75" s="67">
        <f t="shared" si="6"/>
        <v>12492.070000000003</v>
      </c>
      <c r="G75" s="65"/>
    </row>
    <row r="76" spans="1:7" x14ac:dyDescent="0.15">
      <c r="A76" s="58" t="s">
        <v>1647</v>
      </c>
      <c r="B76" s="65"/>
      <c r="C76" s="65">
        <v>521404</v>
      </c>
      <c r="D76" s="69"/>
      <c r="E76" s="67">
        <v>555.22</v>
      </c>
      <c r="F76" s="67">
        <f t="shared" si="6"/>
        <v>11936.850000000004</v>
      </c>
      <c r="G76" s="65"/>
    </row>
    <row r="77" spans="1:7" x14ac:dyDescent="0.15">
      <c r="A77" s="58" t="s">
        <v>1648</v>
      </c>
      <c r="B77" s="65"/>
      <c r="C77" s="65">
        <v>522904</v>
      </c>
      <c r="D77" s="69"/>
      <c r="E77" s="67">
        <v>555.22</v>
      </c>
      <c r="F77" s="67">
        <f t="shared" si="6"/>
        <v>11381.630000000005</v>
      </c>
      <c r="G77" s="65"/>
    </row>
    <row r="78" spans="1:7" x14ac:dyDescent="0.15">
      <c r="A78" s="58" t="s">
        <v>1649</v>
      </c>
      <c r="B78" s="65"/>
      <c r="C78" s="65">
        <v>523237</v>
      </c>
      <c r="D78" s="69"/>
      <c r="E78" s="67">
        <v>555.22</v>
      </c>
      <c r="F78" s="67">
        <f t="shared" si="6"/>
        <v>10826.410000000005</v>
      </c>
      <c r="G78" s="65"/>
    </row>
    <row r="79" spans="1:7" ht="14" x14ac:dyDescent="0.15">
      <c r="A79" s="296" t="s">
        <v>1650</v>
      </c>
      <c r="B79" s="65"/>
      <c r="C79" s="65">
        <v>524726</v>
      </c>
      <c r="D79" s="69"/>
      <c r="E79" s="67">
        <v>506.96</v>
      </c>
      <c r="F79" s="67">
        <f t="shared" si="6"/>
        <v>10319.450000000006</v>
      </c>
      <c r="G79" s="65"/>
    </row>
    <row r="80" spans="1:7" x14ac:dyDescent="0.15">
      <c r="A80" s="58" t="s">
        <v>1651</v>
      </c>
      <c r="B80" s="65"/>
      <c r="C80" s="65">
        <v>525149</v>
      </c>
      <c r="D80" s="69"/>
      <c r="E80" s="67">
        <v>555.22</v>
      </c>
      <c r="F80" s="67">
        <f t="shared" si="6"/>
        <v>9764.2300000000068</v>
      </c>
      <c r="G80" s="65"/>
    </row>
    <row r="81" spans="1:7" x14ac:dyDescent="0.15">
      <c r="A81" s="58" t="s">
        <v>1652</v>
      </c>
      <c r="B81" s="65"/>
      <c r="C81" s="65">
        <v>525773</v>
      </c>
      <c r="D81" s="69"/>
      <c r="E81" s="67">
        <v>555.22</v>
      </c>
      <c r="F81" s="67">
        <f t="shared" si="6"/>
        <v>9209.0100000000075</v>
      </c>
      <c r="G81" s="65"/>
    </row>
    <row r="82" spans="1:7" x14ac:dyDescent="0.15">
      <c r="A82" s="58" t="s">
        <v>1653</v>
      </c>
      <c r="B82" s="65"/>
      <c r="C82" s="65">
        <v>526496</v>
      </c>
      <c r="D82" s="69"/>
      <c r="E82" s="67">
        <v>507.47</v>
      </c>
      <c r="F82" s="67">
        <f t="shared" si="6"/>
        <v>8701.5400000000081</v>
      </c>
      <c r="G82" s="65"/>
    </row>
    <row r="83" spans="1:7" x14ac:dyDescent="0.15">
      <c r="A83" s="58" t="s">
        <v>1654</v>
      </c>
      <c r="B83" s="65"/>
      <c r="C83" s="65">
        <v>528847</v>
      </c>
      <c r="D83" s="69"/>
      <c r="E83" s="67">
        <v>507.47</v>
      </c>
      <c r="F83" s="67">
        <f t="shared" si="6"/>
        <v>8194.0700000000088</v>
      </c>
      <c r="G83" s="65"/>
    </row>
    <row r="84" spans="1:7" x14ac:dyDescent="0.15">
      <c r="A84" s="58" t="s">
        <v>1655</v>
      </c>
      <c r="B84" s="65"/>
      <c r="C84" s="65">
        <v>531322</v>
      </c>
      <c r="D84" s="69"/>
      <c r="E84" s="67">
        <v>507.47</v>
      </c>
      <c r="F84" s="67">
        <f t="shared" si="6"/>
        <v>7686.6000000000085</v>
      </c>
      <c r="G84" s="65"/>
    </row>
    <row r="85" spans="1:7" x14ac:dyDescent="0.15">
      <c r="A85" s="58" t="s">
        <v>1656</v>
      </c>
      <c r="B85" s="65"/>
      <c r="C85" s="65">
        <v>532531</v>
      </c>
      <c r="D85" s="69"/>
      <c r="E85" s="67">
        <v>507.47</v>
      </c>
      <c r="F85" s="67">
        <f t="shared" si="6"/>
        <v>7179.1300000000083</v>
      </c>
      <c r="G85" s="65"/>
    </row>
    <row r="86" spans="1:7" x14ac:dyDescent="0.15">
      <c r="A86" s="58" t="s">
        <v>1657</v>
      </c>
      <c r="B86" s="65"/>
      <c r="C86" s="65">
        <v>532575</v>
      </c>
      <c r="D86" s="69"/>
      <c r="E86" s="67">
        <v>555.22</v>
      </c>
      <c r="F86" s="67">
        <f t="shared" si="6"/>
        <v>6623.910000000008</v>
      </c>
      <c r="G86" s="65"/>
    </row>
    <row r="87" spans="1:7" x14ac:dyDescent="0.15">
      <c r="A87" s="58" t="s">
        <v>1658</v>
      </c>
      <c r="B87" s="65"/>
      <c r="C87" s="65">
        <v>533539</v>
      </c>
      <c r="D87" s="69"/>
      <c r="E87" s="67">
        <v>459.72</v>
      </c>
      <c r="F87" s="67">
        <f t="shared" si="6"/>
        <v>6164.1900000000078</v>
      </c>
      <c r="G87" s="65"/>
    </row>
    <row r="88" spans="1:7" x14ac:dyDescent="0.15">
      <c r="A88" s="58" t="s">
        <v>1659</v>
      </c>
      <c r="B88" s="65"/>
      <c r="C88" s="65">
        <v>533739</v>
      </c>
      <c r="D88" s="69"/>
      <c r="E88" s="67">
        <v>555.22</v>
      </c>
      <c r="F88" s="67">
        <f t="shared" si="6"/>
        <v>5608.9700000000075</v>
      </c>
      <c r="G88" s="65"/>
    </row>
    <row r="89" spans="1:7" x14ac:dyDescent="0.15">
      <c r="A89" s="58" t="s">
        <v>1660</v>
      </c>
      <c r="B89" s="65"/>
      <c r="C89" s="65">
        <v>534370</v>
      </c>
      <c r="D89" s="69"/>
      <c r="E89" s="67">
        <v>507.47</v>
      </c>
      <c r="F89" s="67">
        <f t="shared" si="6"/>
        <v>5101.5000000000073</v>
      </c>
      <c r="G89" s="65"/>
    </row>
    <row r="90" spans="1:7" x14ac:dyDescent="0.15">
      <c r="A90" s="58" t="s">
        <v>1661</v>
      </c>
      <c r="B90" s="65"/>
      <c r="C90" s="65">
        <v>534490</v>
      </c>
      <c r="D90" s="69"/>
      <c r="E90" s="67">
        <v>555.22</v>
      </c>
      <c r="F90" s="67">
        <f t="shared" si="6"/>
        <v>4546.280000000007</v>
      </c>
      <c r="G90" s="65"/>
    </row>
    <row r="91" spans="1:7" x14ac:dyDescent="0.15">
      <c r="A91" s="58" t="s">
        <v>1662</v>
      </c>
      <c r="B91" s="65"/>
      <c r="C91" s="65">
        <v>535193</v>
      </c>
      <c r="D91" s="69"/>
      <c r="E91" s="67">
        <v>507.47</v>
      </c>
      <c r="F91" s="67">
        <f t="shared" si="6"/>
        <v>4038.8100000000068</v>
      </c>
      <c r="G91" s="65"/>
    </row>
    <row r="92" spans="1:7" x14ac:dyDescent="0.15">
      <c r="A92" s="58" t="s">
        <v>1663</v>
      </c>
      <c r="B92" s="65"/>
      <c r="C92" s="65">
        <v>535508</v>
      </c>
      <c r="D92" s="69"/>
      <c r="E92" s="67">
        <v>507.47</v>
      </c>
      <c r="F92" s="67">
        <f t="shared" si="6"/>
        <v>3531.3400000000065</v>
      </c>
      <c r="G92" s="65"/>
    </row>
    <row r="93" spans="1:7" x14ac:dyDescent="0.15">
      <c r="A93" s="58" t="s">
        <v>1664</v>
      </c>
      <c r="B93" s="65"/>
      <c r="C93" s="65">
        <v>535510</v>
      </c>
      <c r="D93" s="69"/>
      <c r="E93" s="67">
        <v>507.47</v>
      </c>
      <c r="F93" s="67">
        <f t="shared" si="6"/>
        <v>3023.8700000000063</v>
      </c>
      <c r="G93" s="65" t="s">
        <v>1665</v>
      </c>
    </row>
    <row r="94" spans="1:7" x14ac:dyDescent="0.15">
      <c r="A94" s="58"/>
      <c r="B94" s="65"/>
      <c r="C94" s="65"/>
      <c r="D94" s="69"/>
      <c r="E94" s="67"/>
      <c r="F94" s="67"/>
      <c r="G94" s="65"/>
    </row>
    <row r="95" spans="1:7" x14ac:dyDescent="0.15">
      <c r="A95" s="324" t="s">
        <v>1666</v>
      </c>
      <c r="B95" s="325"/>
      <c r="C95" s="325"/>
      <c r="D95" s="325"/>
      <c r="E95" s="326"/>
      <c r="F95" s="67">
        <v>8023.87</v>
      </c>
      <c r="G95" s="65"/>
    </row>
    <row r="96" spans="1:7" x14ac:dyDescent="0.15">
      <c r="A96" s="58"/>
      <c r="B96" s="65"/>
      <c r="C96" s="65"/>
      <c r="D96" s="69"/>
      <c r="E96" s="67"/>
      <c r="F96" s="67"/>
      <c r="G96" s="65"/>
    </row>
    <row r="97" spans="1:7" x14ac:dyDescent="0.15">
      <c r="A97" s="58"/>
      <c r="B97" s="65"/>
      <c r="C97" s="65"/>
      <c r="D97" s="69"/>
      <c r="E97" s="67"/>
      <c r="F97" s="67"/>
      <c r="G97" s="65"/>
    </row>
    <row r="98" spans="1:7" x14ac:dyDescent="0.15">
      <c r="A98" s="58"/>
      <c r="B98" s="65"/>
      <c r="C98" s="65"/>
      <c r="D98" s="69"/>
      <c r="E98" s="67"/>
      <c r="F98" s="67"/>
      <c r="G98" s="65"/>
    </row>
  </sheetData>
  <mergeCells count="1">
    <mergeCell ref="A95:E95"/>
  </mergeCells>
  <phoneticPr fontId="25"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661AA-795C-4107-88DF-605DD7204FF9}">
  <sheetPr>
    <tabColor rgb="FFFFFF00"/>
  </sheetPr>
  <dimension ref="A1:B13"/>
  <sheetViews>
    <sheetView workbookViewId="0">
      <selection activeCell="B14" sqref="B14"/>
    </sheetView>
  </sheetViews>
  <sheetFormatPr baseColWidth="10" defaultColWidth="8.83203125" defaultRowHeight="15" x14ac:dyDescent="0.2"/>
  <cols>
    <col min="1" max="1" width="23.5" bestFit="1" customWidth="1"/>
  </cols>
  <sheetData>
    <row r="1" spans="1:2" x14ac:dyDescent="0.2">
      <c r="A1" s="323" t="s">
        <v>1667</v>
      </c>
    </row>
    <row r="2" spans="1:2" x14ac:dyDescent="0.2">
      <c r="A2" t="s">
        <v>1668</v>
      </c>
    </row>
    <row r="3" spans="1:2" x14ac:dyDescent="0.2">
      <c r="A3" t="s">
        <v>1669</v>
      </c>
      <c r="B3">
        <f>COUNTA('Application (Non Major)'!G:G)</f>
        <v>113</v>
      </c>
    </row>
    <row r="6" spans="1:2" x14ac:dyDescent="0.2">
      <c r="A6" s="323" t="s">
        <v>1670</v>
      </c>
    </row>
    <row r="7" spans="1:2" x14ac:dyDescent="0.2">
      <c r="A7" t="s">
        <v>1668</v>
      </c>
    </row>
    <row r="8" spans="1:2" x14ac:dyDescent="0.2">
      <c r="A8" t="s">
        <v>1669</v>
      </c>
      <c r="B8">
        <f>COUNTA('Application (Major)'!G:G)</f>
        <v>40</v>
      </c>
    </row>
    <row r="11" spans="1:2" x14ac:dyDescent="0.2">
      <c r="A11" s="323" t="s">
        <v>1671</v>
      </c>
    </row>
    <row r="12" spans="1:2" x14ac:dyDescent="0.2">
      <c r="A12" t="s">
        <v>1672</v>
      </c>
    </row>
    <row r="13" spans="1:2" x14ac:dyDescent="0.2">
      <c r="A13" t="s">
        <v>1673</v>
      </c>
      <c r="B13">
        <f>SUM(B3+B8)</f>
        <v>153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74EA4B021E7B4197E0B77DCF8770A8" ma:contentTypeVersion="13" ma:contentTypeDescription="Create a new document." ma:contentTypeScope="" ma:versionID="ebb401e81e3712a12d23a789d2bfa9fe">
  <xsd:schema xmlns:xsd="http://www.w3.org/2001/XMLSchema" xmlns:xs="http://www.w3.org/2001/XMLSchema" xmlns:p="http://schemas.microsoft.com/office/2006/metadata/properties" xmlns:ns2="f1c51713-a7b9-4899-a01c-db85572982cc" xmlns:ns3="3ac97f74-887d-4038-a207-790912953edc" targetNamespace="http://schemas.microsoft.com/office/2006/metadata/properties" ma:root="true" ma:fieldsID="3a6713f0e65e3bfee893efc160aaadb3" ns2:_="" ns3:_="">
    <xsd:import namespace="f1c51713-a7b9-4899-a01c-db85572982cc"/>
    <xsd:import namespace="3ac97f74-887d-4038-a207-790912953e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51713-a7b9-4899-a01c-db8557298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af8cfed-64c2-475b-a96a-20ffe17e85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c97f74-887d-4038-a207-790912953ed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8ebbe9b-5f5b-4d28-9be3-21d8ca7d0566}" ma:internalName="TaxCatchAll" ma:showField="CatchAllData" ma:web="3ac97f74-887d-4038-a207-790912953e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1c51713-a7b9-4899-a01c-db85572982cc">
      <Terms xmlns="http://schemas.microsoft.com/office/infopath/2007/PartnerControls"/>
    </lcf76f155ced4ddcb4097134ff3c332f>
    <TaxCatchAll xmlns="3ac97f74-887d-4038-a207-790912953edc" xsi:nil="true"/>
  </documentManagement>
</p:properties>
</file>

<file path=customXml/itemProps1.xml><?xml version="1.0" encoding="utf-8"?>
<ds:datastoreItem xmlns:ds="http://schemas.openxmlformats.org/officeDocument/2006/customXml" ds:itemID="{ABC7E361-A955-4B3E-9957-54223BC49C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51713-a7b9-4899-a01c-db85572982cc"/>
    <ds:schemaRef ds:uri="3ac97f74-887d-4038-a207-790912953e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8BCEC2-8D8C-4BEE-89FA-C6CF270D5654}">
  <ds:schemaRefs>
    <ds:schemaRef ds:uri="http://schemas.microsoft.com/sharepoint/v3/contenttype/forms"/>
  </ds:schemaRefs>
</ds:datastoreItem>
</file>

<file path=customXml/itemProps3.xml><?xml version="1.0" encoding="utf-8"?>
<ds:datastoreItem xmlns:ds="http://schemas.openxmlformats.org/officeDocument/2006/customXml" ds:itemID="{D389CE87-FAFE-428E-AAD2-54E9632E3EE5}">
  <ds:schemaRefs>
    <ds:schemaRef ds:uri="3ac97f74-887d-4038-a207-790912953edc"/>
    <ds:schemaRef ds:uri="http://schemas.microsoft.com/office/2006/documentManagement/types"/>
    <ds:schemaRef ds:uri="http://purl.org/dc/dcmitype/"/>
    <ds:schemaRef ds:uri="http://schemas.microsoft.com/office/2006/metadata/properties"/>
    <ds:schemaRef ds:uri="f1c51713-a7b9-4899-a01c-db85572982cc"/>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Key</vt:lpstr>
      <vt:lpstr>Pre-application - DONE</vt:lpstr>
      <vt:lpstr>Application (Major)</vt:lpstr>
      <vt:lpstr>Application (Non Major)</vt:lpstr>
      <vt:lpstr>TMP Invoices</vt:lpstr>
      <vt:lpstr>Applicant breakdown </vt:lpstr>
      <vt:lpstr>'Application (Non Major)'!_Hlk161053128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Boulton, Mark</dc:creator>
  <cp:keywords/>
  <dc:description/>
  <cp:lastModifiedBy>Nisali Halwathura</cp:lastModifiedBy>
  <cp:revision/>
  <dcterms:created xsi:type="dcterms:W3CDTF">2022-03-16T16:11:39Z</dcterms:created>
  <dcterms:modified xsi:type="dcterms:W3CDTF">2026-08-07T12:53:46Z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0x010100B674EA4B021E7B4197E0B77DCF8770A8</vt:lpwstr>
  </property>
  <property fmtid="{D5CDD505-2E9C-101B-9397-08002B2CF9AE}" pid="3" name="MediaServiceImageTags">
    <vt:lpwstr/>
  </property>
  <property fmtid="{D5CDD505-2E9C-101B-9397-08002B2CF9AE}" pid="4" name="Order">
    <vt:r8>10200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MSIP_Label_f36a5460-e920-446a-b5c6-83cdd0376e52_Enabled">
    <vt:lpwstr>true</vt:lpwstr>
  </property>
  <property fmtid="{D5CDD505-2E9C-101B-9397-08002B2CF9AE}" pid="12" name="MSIP_Label_f36a5460-e920-446a-b5c6-83cdd0376e52_SetDate">
    <vt:lpwstr>2026-02-26T16:40:22Z</vt:lpwstr>
  </property>
  <property fmtid="{D5CDD505-2E9C-101B-9397-08002B2CF9AE}" pid="13" name="MSIP_Label_f36a5460-e920-446a-b5c6-83cdd0376e52_Method">
    <vt:lpwstr>Standard</vt:lpwstr>
  </property>
  <property fmtid="{D5CDD505-2E9C-101B-9397-08002B2CF9AE}" pid="14" name="MSIP_Label_f36a5460-e920-446a-b5c6-83cdd0376e52_Name">
    <vt:lpwstr>SCD</vt:lpwstr>
  </property>
  <property fmtid="{D5CDD505-2E9C-101B-9397-08002B2CF9AE}" pid="15" name="MSIP_Label_f36a5460-e920-446a-b5c6-83cdd0376e52_SiteId">
    <vt:lpwstr>5878df98-6f88-48ab-9322-998ce557088d</vt:lpwstr>
  </property>
  <property fmtid="{D5CDD505-2E9C-101B-9397-08002B2CF9AE}" pid="16" name="MSIP_Label_f36a5460-e920-446a-b5c6-83cdd0376e52_ActionId">
    <vt:lpwstr>4c6e5bf6-6345-4a6a-bded-091cafa8d1da</vt:lpwstr>
  </property>
  <property fmtid="{D5CDD505-2E9C-101B-9397-08002B2CF9AE}" pid="17" name="MSIP_Label_f36a5460-e920-446a-b5c6-83cdd0376e52_ContentBits">
    <vt:lpwstr>0</vt:lpwstr>
  </property>
</Properties>
</file>